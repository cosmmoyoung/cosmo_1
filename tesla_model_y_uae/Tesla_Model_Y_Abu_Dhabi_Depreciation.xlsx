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New Price History" sheetId="2" state="visible" r:id="rId4"/>
    <sheet name="Used Listings" sheetId="3" state="visible" r:id="rId5"/>
    <sheet name="Depreciation Curve" sheetId="4" state="visible" r:id="rId6"/>
    <sheet name="Adjustments" sheetId="5" state="visible" r:id="rId7"/>
    <sheet name="Benchmarks" sheetId="6" state="visible" r:id="rId8"/>
    <sheet name="Char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<sst xmlns="http://schemas.openxmlformats.org/spreadsheetml/2006/main" count="403" uniqueCount="295">
  <si>
    <t xml:space="preserve">Tesla Model Y — Abu Dhabi / UAE depreciation analysis</t>
  </si>
  <si>
    <t xml:space="preserve">Prepared</t>
  </si>
  <si>
    <t xml:space="preserve">25 July 2026</t>
  </si>
  <si>
    <t xml:space="preserve">Question</t>
  </si>
  <si>
    <t xml:space="preserve">How does a Tesla Model Y depreciate in the Abu Dhabi / UAE used market, from new to 5 years old, and how does that compare with other cars?</t>
  </si>
  <si>
    <t xml:space="preserve">Reference vehicle</t>
  </si>
  <si>
    <t xml:space="preserve">Model Y Long Range AWD, GCC specification, dealer-serviced, ~18,000 km per year (the UAE private-use average). All other configurations are handled as adjustments on the 'Adjustments' tab.</t>
  </si>
  <si>
    <t xml:space="preserve">Currency</t>
  </si>
  <si>
    <t xml:space="preserve">AED, inclusive of 5% VAT, as advertised. UAE asking prices are typically 3-8% above the transacted price; treat the curve as an asking-price curve.</t>
  </si>
  <si>
    <t xml:space="preserve">METHOD</t>
  </si>
  <si>
    <t xml:space="preserve">1. New price</t>
  </si>
  <si>
    <t xml:space="preserve">Reconstructed the UAE list price of the Long Range AWD by model year ('New Price History'). This matters more than usual: Tesla cut UAE list prices roughly 13% between 2022 and 2026, so a 2022 buyer is depreciating against a falling replacement cost.</t>
  </si>
  <si>
    <t xml:space="preserve">2. Used observations</t>
  </si>
  <si>
    <t xml:space="preserve">Collected individual live listings plus per-model-year floor prices and market averages from UAE classifieds ('Used Listings'). Each row is flagged High / Medium / Low confidence. Low-confidence rows are stale search-index snapshots (asking prices from 2023-24 still cached against a live URL) and are EXCLUDED from the fitted curve.</t>
  </si>
  <si>
    <t xml:space="preserve">3. Curve fit</t>
  </si>
  <si>
    <t xml:space="preserve">Fitted a smooth residual-value curve to the High-confidence observations, normalising each one for mileage using the per-km factor on 'Adjustments' ('Depreciation Curve'). Validation of fit vs. observation is shown on that tab.</t>
  </si>
  <si>
    <t xml:space="preserve">4. Adjustments</t>
  </si>
  <si>
    <t xml:space="preserve">FSD / Enhanced Autopilot, HW3 vs HW4, mileage, warranty thresholds, GCC vs import, trim.</t>
  </si>
  <si>
    <t xml:space="preserve">5. Benchmarks</t>
  </si>
  <si>
    <t xml:space="preserve">Compared against other UAE vehicles and against the US Model Y market.</t>
  </si>
  <si>
    <t xml:space="preserve">HONEST LIMITATIONS</t>
  </si>
  <si>
    <t xml:space="preserve">Sample size</t>
  </si>
  <si>
    <t xml:space="preserve">The UAE Model Y parc is small and young. Live inventory at the time of writing was roughly 43 cars on DubiCars and 84 on dubizzle UAE-wide; Abu Dhabi alone showed only 5-6 cars. The 4- and 5-year points rest on a handful of listings and are the weakest part of the curve.</t>
  </si>
  <si>
    <t xml:space="preserve">Direct scraping blocked</t>
  </si>
  <si>
    <t xml:space="preserve">The analysis environment could not open the classifieds sites directly (network egress policy plus site-level bot protection returned HTTP 403 for every direct fetch). Listing data was therefore recovered through search-engine indexing of those same pages. That is why each row carries a confidence flag: some indexed snapshots are stale.</t>
  </si>
  <si>
    <t xml:space="preserve">Asking vs. transacted</t>
  </si>
  <si>
    <t xml:space="preserve">Every price here is an asking price. Real transactions in the UAE clear below ask, and dealer trade-in / instant-buy offers (CarSwitch, Kavak, expat buyers) run roughly 10-18% below these numbers again.</t>
  </si>
  <si>
    <t xml:space="preserve">Model year vs. age</t>
  </si>
  <si>
    <t xml:space="preserve">Age is measured from first registration, approximated as mid-year of the model year. A model-year 2023 car is treated as 3.2 years old in July 2026.</t>
  </si>
  <si>
    <t xml:space="preserve">PRIMARY SOURCES</t>
  </si>
  <si>
    <t xml:space="preserve">New prices</t>
  </si>
  <si>
    <t xml:space="preserve">tesla.com/en_ae, drivearabia.com, uae.yallamotor.com, zigwheels.ae, carprices.ae, driveteslacanada.ca (UAE launch pricing, Nov 2021), tbreak.com (Model Y L Premium)</t>
  </si>
  <si>
    <t xml:space="preserve">Used listings</t>
  </si>
  <si>
    <t xml:space="preserve">dubicars.com, uae.dubizzle.com / abudhabi.dubizzle.com, carswitch.com, oneclickdrive.com, ae.opensooq.com</t>
  </si>
  <si>
    <t xml:space="preserve">Warranty / hardware</t>
  </si>
  <si>
    <t xml:space="preserve">tesla.com/en_ae/support/vehicle-warranty, notateslaapp.com, teslarati.com, tesery.com (HW3/HW4 timeline)</t>
  </si>
  <si>
    <t xml:space="preserve">Benchmarks</t>
  </si>
  <si>
    <t xml:space="preserve">iseecars.com, caredge.com, dubizzle.com/blog/cars/car-depreciation-uae, expatcarbuyers.com (UAE EV resale)</t>
  </si>
  <si>
    <t xml:space="preserve">COLOUR KEY</t>
  </si>
  <si>
    <t xml:space="preserve">Blue text</t>
  </si>
  <si>
    <t xml:space="preserve">Hardcoded input / observed market data</t>
  </si>
  <si>
    <t xml:space="preserve">Black text</t>
  </si>
  <si>
    <t xml:space="preserve">Calculated by formula</t>
  </si>
  <si>
    <t xml:space="preserve">Yellow fill</t>
  </si>
  <si>
    <t xml:space="preserve">Key assumption you may want to change</t>
  </si>
  <si>
    <t xml:space="preserve">UAE new-car list price by model year (AED, incl. VAT)</t>
  </si>
  <si>
    <t xml:space="preserve">Model
year</t>
  </si>
  <si>
    <t xml:space="preserve">RWD /
Standard Range</t>
  </si>
  <si>
    <t xml:space="preserve">Long Range
RWD</t>
  </si>
  <si>
    <t xml:space="preserve">Long Range
AWD</t>
  </si>
  <si>
    <t xml:space="preserve">Performance</t>
  </si>
  <si>
    <t xml:space="preserve">Confidence</t>
  </si>
  <si>
    <t xml:space="preserve">Source / note</t>
  </si>
  <si>
    <t xml:space="preserve">n/a</t>
  </si>
  <si>
    <t xml:space="preserve">High</t>
  </si>
  <si>
    <t xml:space="preserve">Launch price when UAE order books opened Nov-2021 (Long Range only); first deliveries early 2022. Source: driveteslacanada.ca</t>
  </si>
  <si>
    <t xml:space="preserve">Medium</t>
  </si>
  <si>
    <t xml:space="preserve">DriveArabia shows the 2023 range starting at AED 219,990; LR AWD and Performance interpolated between the 2022 launch price and the observed 2024 list. Treat as an estimate.</t>
  </si>
  <si>
    <t xml:space="preserve">RWD AED 178,670 and Performance AED 243,670 from ZigWheels / DriveArabia 2024-25 price list; LR AWD interpolated. Tesla made four UAE price adjustments during 2024.</t>
  </si>
  <si>
    <t xml:space="preserve">Juniper refresh. LR AWD AED 209,990 incl. VAT (YallaMotor). Some 2025 listings still showed the pre-facelift LR at AED 235,000 mid-year.</t>
  </si>
  <si>
    <t xml:space="preserve">Current list: Premium RWD AED 174,990, Long Range AWD AED 204,990. Six-seat Model Y L Premium AED 224,990 (deliveries Nov-2026). Sources: YallaMotor, ZigWheels, tbreak.com</t>
  </si>
  <si>
    <t xml:space="preserve">Change in LR AWD list price, 2022 to 2026</t>
  </si>
  <si>
    <t xml:space="preserve">This is the single most under-appreciated driver of Model Y depreciation in the UAE: the replacement cost of the car fell while the car aged.</t>
  </si>
  <si>
    <t xml:space="preserve">FACTORY OPTIONS (UAE)</t>
  </si>
  <si>
    <t xml:space="preserve">Option</t>
  </si>
  <si>
    <t xml:space="preserve">Price (AED)</t>
  </si>
  <si>
    <t xml:space="preserve">Est. resale
recovery</t>
  </si>
  <si>
    <t xml:space="preserve">Comment</t>
  </si>
  <si>
    <t xml:space="preserve">Full Self-Driving (FSD) Capability</t>
  </si>
  <si>
    <t xml:space="preserve">FSD is NOT publicly released in the UAE as of Jul-2026 - only supervised road trials in Abu Dhabi since Feb-2026. A UAE buyer is paying for a feature they cannot use, so it recovers very little.</t>
  </si>
  <si>
    <t xml:space="preserve">Enhanced Autopilot (EAP)</t>
  </si>
  <si>
    <t xml:space="preserve">Navigate-on-Autopilot, Autopark, Summon - these do work in the UAE, so EAP recovers better than FSD despite costing half as much.</t>
  </si>
  <si>
    <t xml:space="preserve">Premium paint</t>
  </si>
  <si>
    <t xml:space="preserve">White is the free colour and the default resale expectation. Red and blue recover slightly better than grey/black in the UAE heat.</t>
  </si>
  <si>
    <t xml:space="preserve">Induction / larger wheels</t>
  </si>
  <si>
    <t xml:space="preserve">Cosmetic only in the resale market; also cuts range and raises tyre cost.</t>
  </si>
  <si>
    <t xml:space="preserve">Tow hitch</t>
  </si>
  <si>
    <t xml:space="preserve">Rare in the UAE, small niche of buyers.</t>
  </si>
  <si>
    <t xml:space="preserve">Fully-loaded FSD car: cash lost on options alone</t>
  </si>
  <si>
    <t xml:space="preserve">Options are the worst-depreciating part of a Tesla in the UAE. Buy the base configuration in white if resale matters.</t>
  </si>
  <si>
    <t xml:space="preserve">Observed UAE used Model Y listings — July 2026</t>
  </si>
  <si>
    <t xml:space="preserve">Age
(yrs)</t>
  </si>
  <si>
    <t xml:space="preserve">Trim / description</t>
  </si>
  <si>
    <t xml:space="preserve">Mileage
(km)</t>
  </si>
  <si>
    <t xml:space="preserve">Asking price
(AED)</t>
  </si>
  <si>
    <t xml:space="preserve">Location</t>
  </si>
  <si>
    <t xml:space="preserve">Source</t>
  </si>
  <si>
    <t xml:space="preserve">Note</t>
  </si>
  <si>
    <t xml:space="preserve">Earliest UAE-registered / import</t>
  </si>
  <si>
    <t xml:space="preserve">Dubai</t>
  </si>
  <si>
    <t xml:space="preserve">DubiCars</t>
  </si>
  <si>
    <t xml:space="preserve">Cheapest 2021 Model Y listed. Model Y did not officially launch in the UAE until Nov-2021 orders / early-2022 delivery, so a MY2021 car is almost certainly a private import without Tesla UAE warranty.</t>
  </si>
  <si>
    <t xml:space="preserve">Cheapest MY2022 in market</t>
  </si>
  <si>
    <t xml:space="preserve">UAE</t>
  </si>
  <si>
    <t xml:space="preserve">DubiCars year page</t>
  </si>
  <si>
    <t xml:space="preserve">Floor price across 14 MY2022 listings UAE-wide.</t>
  </si>
  <si>
    <t xml:space="preserve">Long Range AWD</t>
  </si>
  <si>
    <t xml:space="preserve">Below-average mileage for age. Tesla warranty ran to Mar-2026 (now expired).</t>
  </si>
  <si>
    <t xml:space="preserve">AWD 77 kWh</t>
  </si>
  <si>
    <t xml:space="preserve">Past the 80,000 km basic-warranty threshold - a clear price step.</t>
  </si>
  <si>
    <t xml:space="preserve">Long Range</t>
  </si>
  <si>
    <t xml:space="preserve">dubizzle</t>
  </si>
  <si>
    <t xml:space="preserve">Low</t>
  </si>
  <si>
    <t xml:space="preserve">EXCLUDED - stale index snapshot; this is a 2023/24-era asking price still cached against a live URL.</t>
  </si>
  <si>
    <t xml:space="preserve">EXCLUDED - stale index snapshot.</t>
  </si>
  <si>
    <t xml:space="preserve">Cheapest MY2023 in market</t>
  </si>
  <si>
    <t xml:space="preserve">Floor price across 8 MY2023 listings UAE-wide.</t>
  </si>
  <si>
    <t xml:space="preserve">75 kWh pack, above-average mileage.</t>
  </si>
  <si>
    <t xml:space="preserve">Performance Dual Motor</t>
  </si>
  <si>
    <t xml:space="preserve">Performance AWD</t>
  </si>
  <si>
    <t xml:space="preserve">Low mileage for age.</t>
  </si>
  <si>
    <t xml:space="preserve">Very low mileage for age.</t>
  </si>
  <si>
    <t xml:space="preserve">GCC spec</t>
  </si>
  <si>
    <t xml:space="preserve">Low km but priced at the market floor - suggests an accident history or a motivated seller.</t>
  </si>
  <si>
    <t xml:space="preserve">Listed at USD 33,051; converted at 3.6725 AED/USD. Well above average mileage for age.</t>
  </si>
  <si>
    <t xml:space="preserve">EXCLUDED - outlier roughly 30% below every comparable MY2024 car. Likely damaged, salvage, or an import.</t>
  </si>
  <si>
    <t xml:space="preserve">Low mileage</t>
  </si>
  <si>
    <t xml:space="preserve">Best single anchor for the 1-year point.</t>
  </si>
  <si>
    <t xml:space="preserve">Cheapest MY2025 in market</t>
  </si>
  <si>
    <t xml:space="preserve">Floor price across 11 MY2025 listings UAE-wide.</t>
  </si>
  <si>
    <t xml:space="preserve">Cheapest MY2025 in Dubai</t>
  </si>
  <si>
    <t xml:space="preserve">Only 2 MY2025 cars listed in Dubai; not representative.</t>
  </si>
  <si>
    <t xml:space="preserve">High-confidence observations used in the fit</t>
  </si>
  <si>
    <t xml:space="preserve">Observations excluded (stale / outlier)</t>
  </si>
  <si>
    <t xml:space="preserve">MARKET-LEVEL AGGREGATES (all model years, July 2026)</t>
  </si>
  <si>
    <t xml:space="preserve">Market</t>
  </si>
  <si>
    <t xml:space="preserve">Listings</t>
  </si>
  <si>
    <t xml:space="preserve">Low (AED)</t>
  </si>
  <si>
    <t xml:space="preserve">Average (AED)</t>
  </si>
  <si>
    <t xml:space="preserve">High (AED)</t>
  </si>
  <si>
    <t xml:space="preserve">Abu Dhabi</t>
  </si>
  <si>
    <t xml:space="preserve">CarSwitch / OneClickDrive</t>
  </si>
  <si>
    <t xml:space="preserve">Very thin. Abu Dhabi shows a narrower and slightly higher band than Dubai - fewer distress listings.</t>
  </si>
  <si>
    <t xml:space="preserve">OneClickDrive / DubiCars</t>
  </si>
  <si>
    <t xml:space="preserve">Deepest market, widest spread, and where the cheapest cars are.</t>
  </si>
  <si>
    <t xml:space="preserve">UAE total</t>
  </si>
  <si>
    <t xml:space="preserve">DubiCars / OneClickDrive</t>
  </si>
  <si>
    <t xml:space="preserve">43 on DubiCars, 84 on dubizzle - overlapping inventory.</t>
  </si>
  <si>
    <t xml:space="preserve">Model Y Long Range AWD — fitted depreciation curve, UAE / Abu Dhabi (July 2026)</t>
  </si>
  <si>
    <t xml:space="preserve">Reference car: Long Range AWD, GCC spec, ~18,000 km/yr, no FSD, white paint, full service history, accident-free. Values are asking prices.</t>
  </si>
  <si>
    <t xml:space="preserve">Age
(years)</t>
  </si>
  <si>
    <t xml:space="preserve">Typical
odometer (km)</t>
  </si>
  <si>
    <t xml:space="preserve">MSRP the cohort
actually paid (AED)</t>
  </si>
  <si>
    <t xml:space="preserve">Fitted market
value (AED)</t>
  </si>
  <si>
    <t xml:space="preserve">% of MSRP
paid</t>
  </si>
  <si>
    <t xml:space="preserve">% of TODAY's
new price</t>
  </si>
  <si>
    <t xml:space="preserve">AED lost
in the period</t>
  </si>
  <si>
    <t xml:space="preserve">% lost in
the period</t>
  </si>
  <si>
    <t xml:space="preserve">Annualised
deprec. rate</t>
  </si>
  <si>
    <t xml:space="preserve">Cumulative
AED lost</t>
  </si>
  <si>
    <t xml:space="preserve">HEADLINE NUMBERS</t>
  </si>
  <si>
    <t xml:space="preserve">Value lost in year 1, cohort basis (AED)</t>
  </si>
  <si>
    <t xml:space="preserve">What a MY2025 buyer lost: paid AED 209,990, car is now worth AED 152,000.</t>
  </si>
  <si>
    <t xml:space="preserve">Value lost in year 1, cohort basis (%)</t>
  </si>
  <si>
    <t xml:space="preserve">The steepest single year by a wide margin.</t>
  </si>
  <si>
    <t xml:space="preserve">Value lost in year 1, buy-today basis (AED)</t>
  </si>
  <si>
    <t xml:space="preserve">What you would lose buying at today's AED 204,990 list. Lower, because Tesla has already cut the price.</t>
  </si>
  <si>
    <t xml:space="preserve">Retained after 3 years</t>
  </si>
  <si>
    <t xml:space="preserve">vs. ~52% for a European luxury SUV, ~65% for a Land Cruiser.</t>
  </si>
  <si>
    <t xml:space="preserve">Retained after 5 years</t>
  </si>
  <si>
    <t xml:space="preserve">vs. 41.9% for the Model Y in the US (iSeeCars 2026).</t>
  </si>
  <si>
    <t xml:space="preserve">Average AED lost per year, years 1-5</t>
  </si>
  <si>
    <t xml:space="preserve">Post-year-1 the bleed is far steadier.</t>
  </si>
  <si>
    <t xml:space="preserve">Average AED lost per year, whole 5 years</t>
  </si>
  <si>
    <t xml:space="preserve">Including the year-1 cliff.</t>
  </si>
  <si>
    <t xml:space="preserve">Total AED lost over 5 years</t>
  </si>
  <si>
    <t xml:space="preserve">On a car that cost AED 234,990 new in 2022.</t>
  </si>
  <si>
    <t xml:space="preserve">SHAPE OF THE CURVE — is it front-loaded?</t>
  </si>
  <si>
    <t xml:space="preserve">Period</t>
  </si>
  <si>
    <t xml:space="preserve">AED lost</t>
  </si>
  <si>
    <t xml:space="preserve">% of the 5-year
total loss</t>
  </si>
  <si>
    <t xml:space="preserve">Verdict</t>
  </si>
  <si>
    <t xml:space="preserve">Year 1</t>
  </si>
  <si>
    <t xml:space="preserve">Year 1 alone is roughly 45% of everything you lose in five years.</t>
  </si>
  <si>
    <t xml:space="preserve">Measured along the fitted value path (buy at today's price and hold), so the five annual figures sum exactly to the age-0 to age-5 decline.</t>
  </si>
  <si>
    <t xml:space="preserve">Year 2</t>
  </si>
  <si>
    <t xml:space="preserve">Year 3</t>
  </si>
  <si>
    <t xml:space="preserve">Years 2-5 are close to a straight line - a slowly shrinking AED 13-21k a year.</t>
  </si>
  <si>
    <t xml:space="preserve">Year 4</t>
  </si>
  <si>
    <t xml:space="preserve">Year 5</t>
  </si>
  <si>
    <t xml:space="preserve">Answer to 'is it two brutal years then flat?' — No. It is ONE brutal year, then a steady, roughly linear decline. The 'EVs collapse for two years then flatten' story is a US-market artefact of the 2023-24 price war; in the UAE the Model Y keeps giving back 8-11 percentage points a year all the way to year five.</t>
  </si>
  <si>
    <t xml:space="preserve">FIT VALIDATION — model vs. high-confidence observations</t>
  </si>
  <si>
    <t xml:space="preserve">MY</t>
  </si>
  <si>
    <t xml:space="preserve">Age</t>
  </si>
  <si>
    <t xml:space="preserve">Observed
(AED)</t>
  </si>
  <si>
    <t xml:space="preserve">Observed
km</t>
  </si>
  <si>
    <t xml:space="preserve">Typical km
for age</t>
  </si>
  <si>
    <t xml:space="preserve">Mileage
adjustment</t>
  </si>
  <si>
    <t xml:space="preserve">Model, adjusted
to that km</t>
  </si>
  <si>
    <t xml:space="preserve">Variance
(AED)</t>
  </si>
  <si>
    <t xml:space="preserve">Variance
(%)</t>
  </si>
  <si>
    <t xml:space="preserve">Mean absolute variance</t>
  </si>
  <si>
    <t xml:space="preserve">Column G is the fitted curve interpolated to the observation's exact age; column F normalises for the car's actual mileage. A single-digit variance on five independent listings is about as good as this sample supports.</t>
  </si>
  <si>
    <t xml:space="preserve">INDEPENDENT CROSS-CHECK — curve vs. whole-market averages</t>
  </si>
  <si>
    <t xml:space="preserve">Curve: mean of the
1-5 year points</t>
  </si>
  <si>
    <t xml:space="preserve">Market average
(observed)</t>
  </si>
  <si>
    <t xml:space="preserve">Variance</t>
  </si>
  <si>
    <t xml:space="preserve">UAE, all Model Y listings</t>
  </si>
  <si>
    <t xml:space="preserve">DubiCars / OneClickDrive, 43 cars</t>
  </si>
  <si>
    <t xml:space="preserve">Abu Dhabi, all Model Y listings</t>
  </si>
  <si>
    <t xml:space="preserve">CarSwitch / OneClickDrive, 6 cars</t>
  </si>
  <si>
    <t xml:space="preserve">This is a genuinely independent check: the whole-market average was never used to build the curve, yet the mean of the 1-to-5-year fitted points lands within a couple of per cent of it. It is not proof the SHAPE is right, only that the LEVEL is.</t>
  </si>
  <si>
    <t xml:space="preserve">Adjustment factors — what moves a Model Y off the baseline curve</t>
  </si>
  <si>
    <t xml:space="preserve">CORE ASSUMPTIONS</t>
  </si>
  <si>
    <t xml:space="preserve">Assumption</t>
  </si>
  <si>
    <t xml:space="preserve">Central</t>
  </si>
  <si>
    <t xml:space="preserve">Basis</t>
  </si>
  <si>
    <t xml:space="preserve">Annual mileage, UAE private use (km)</t>
  </si>
  <si>
    <t xml:space="preserve">UAE private cars run high annual mileage by global standards - long commutes, cheap fuel/electricity, and intercity driving between the emirates.</t>
  </si>
  <si>
    <t xml:space="preserve">Value per excess km (AED/km)</t>
  </si>
  <si>
    <t xml:space="preserve">Derived from paired listings: a MY2022 at 52,554 km asked AED 119,000 vs. one at 95,000 km asking AED 86,999 - AED 0.75/km across a 42,000 km gap that also crosses the warranty threshold. The clean mid-range signal is nearer AED 0.55/km.</t>
  </si>
  <si>
    <t xml:space="preserve">MILEAGE &amp; WARRANTY THRESHOLDS</t>
  </si>
  <si>
    <t xml:space="preserve">Threshold</t>
  </si>
  <si>
    <t xml:space="preserve">km</t>
  </si>
  <si>
    <t xml:space="preserve">Reached at
(years @ 18k/yr)</t>
  </si>
  <si>
    <t xml:space="preserve">Extra price
step</t>
  </si>
  <si>
    <t xml:space="preserve">What actually happens</t>
  </si>
  <si>
    <t xml:space="preserve">Basic Vehicle Limited Warranty ends</t>
  </si>
  <si>
    <t xml:space="preserve">4 years or 80,000 km, whichever comes first. Most UAE cars hit the km limit first (4.4 yrs at 18k/yr). Listings visibly re-price here - it is the first real cliff.</t>
  </si>
  <si>
    <t xml:space="preserve">Battery &amp; Drive Unit warranty ends - RWD</t>
  </si>
  <si>
    <t xml:space="preserve">8 years / 160,000 km, minimum 70% capacity retention.</t>
  </si>
  <si>
    <t xml:space="preserve">Battery &amp; Drive Unit warranty ends - LR / Performance</t>
  </si>
  <si>
    <t xml:space="preserve">8 years / 192,000 km, minimum 70% capacity retention. This is ~119,000 miles - THE cliff people mean when they talk about a high-mileage EV falling off. At UAE mileage rates the car reaches it at about 10.7 years, so it is irrelevant to a 5-year ownership plan.</t>
  </si>
  <si>
    <t xml:space="preserve">NOTE ON THE '150,000 MILE CLIFF': that figure is a US used-market rule of thumb. In the UAE the binding thresholds are 80,000 km (basic warranty) and 192,000 km / ~119,000 miles (battery and drive unit). There is no separate 150k-mile event. What people are describing is the battery warranty expiring, which in UAE terms happens at 192,000 km - and the second-hand market prices that in gradually as the car approaches it, not as a single overnight drop.</t>
  </si>
  <si>
    <t xml:space="preserve">SOFTWARE &amp; HARDWARE</t>
  </si>
  <si>
    <t xml:space="preserve">Factor</t>
  </si>
  <si>
    <t xml:space="preserve">Cost new
(AED)</t>
  </si>
  <si>
    <t xml:space="preserve">Resale uplift
(AED)</t>
  </si>
  <si>
    <t xml:space="preserve">Recovery</t>
  </si>
  <si>
    <t xml:space="preserve">Reality in the UAE</t>
  </si>
  <si>
    <t xml:space="preserve">Full Self-Driving (FSD)</t>
  </si>
  <si>
    <t xml:space="preserve">FSD is not publicly available in the UAE as of July 2026. Musk targeted January 2026; that slipped, and Tesla began supervised FSD road trials in Abu Dhabi in February 2026 under the Integrated Transport Centre. So a UAE buyer of a used Model Y with FSD is buying a dormant licence. It transfers on a private sale or third-party dealer sale, but NOT if you trade the car into Tesla. Verdict: FSD is close to worthless at UAE resale today, and buying it new is the single worst value decision on the order page.</t>
  </si>
  <si>
    <t xml:space="preserve">EAP features do function in the UAE. Recovers proportionally better than FSD despite the lower price.</t>
  </si>
  <si>
    <t xml:space="preserve">HW4 / AI4 vs HW3</t>
  </si>
  <si>
    <t xml:space="preserve">Model Y switched to HW4 progressively from late May 2023 (Fremont) and Giga Shanghai - which supplies the Middle East - went all-HW4 on 1 February 2024. Practical read: MY2022-2023 UAE cars are HW3, MY2024+ are HW4. Today the resale gap is small (roughly 0-3%) precisely BECAUSE FSD is not live here, so there is nothing for the better computer to do. The risk is asymmetric though: if FSD launches in the UAE and is gated to HW4, HW3 cars could take a further 5-10% hit. If you are buying to hold past 2028, that argues for MY2024 or later.</t>
  </si>
  <si>
    <t xml:space="preserve">SPECIFICATION &amp; CONDITION</t>
  </si>
  <si>
    <t xml:space="preserve">GCC spec vs. private import</t>
  </si>
  <si>
    <t xml:space="preserve">An imported (usually US) car has no Tesla UAE warranty, sometimes no Tesla UAE service history, and buyers discount it hard. Every MY2020-2021 Model Y in the UAE is an import - the car did not launch here until Nov-2021 orders.</t>
  </si>
  <si>
    <t xml:space="preserve">Performance vs. Long Range, same age/km</t>
  </si>
  <si>
    <t xml:space="preserve">Performance carries roughly AED 15,000-25,000 more at the same age and mileage, but its PERCENTAGE retention is about the same - it started dearer and stays dearer.</t>
  </si>
  <si>
    <t xml:space="preserve">RWD / Standard Range vs. Long Range</t>
  </si>
  <si>
    <t xml:space="preserve">Cheaper to start with and depreciates at a similar rate, but note the shorter 160,000 km battery warranty and weaker appeal in a market where people drive Dubai-Abu Dhabi regularly.</t>
  </si>
  <si>
    <t xml:space="preserve">Full Tesla service history</t>
  </si>
  <si>
    <t xml:space="preserve">Meaningful in the UAE where flood/accident history is a real fear.</t>
  </si>
  <si>
    <t xml:space="preserve">Accident history on record</t>
  </si>
  <si>
    <t xml:space="preserve">UAE buyers check this aggressively; the discount is severe.</t>
  </si>
  <si>
    <t xml:space="preserve">White vs. premium colour</t>
  </si>
  <si>
    <t xml:space="preserve">White is the default and the easiest resale in the heat.</t>
  </si>
  <si>
    <t xml:space="preserve">Remaining transferable warranty</t>
  </si>
  <si>
    <t xml:space="preserve">A car still inside 4yr/80,000 km sells visibly faster.</t>
  </si>
  <si>
    <t xml:space="preserve">WORKED EXAMPLE — pricing a specific car</t>
  </si>
  <si>
    <t xml:space="preserve">Car: MY2023 Long Range AWD, GCC, 78,000 km, FSD, accident-free</t>
  </si>
  <si>
    <t xml:space="preserve">Baseline curve value at 3.2 years</t>
  </si>
  <si>
    <t xml:space="preserve">From 'Depreciation Curve', interpolated between the 3.0 and 3.5 year points.</t>
  </si>
  <si>
    <t xml:space="preserve">Typical km at 3.2 years</t>
  </si>
  <si>
    <t xml:space="preserve">Actual km</t>
  </si>
  <si>
    <t xml:space="preserve">Mileage adjustment</t>
  </si>
  <si>
    <t xml:space="preserve">FSD uplift</t>
  </si>
  <si>
    <t xml:space="preserve">Estimated asking price</t>
  </si>
  <si>
    <t xml:space="preserve">Likely transacted price (ask less 6%)</t>
  </si>
  <si>
    <t xml:space="preserve">Dealer / instant-buy offer (ask less 15%)</t>
  </si>
  <si>
    <t xml:space="preserve">What CarSwitch, Kavak or a trade-in desk will actually put in front of you.</t>
  </si>
  <si>
    <t xml:space="preserve">How fast is that, really? — benchmark comparison</t>
  </si>
  <si>
    <t xml:space="preserve">Vehicle / segment</t>
  </si>
  <si>
    <t xml:space="preserve">Retained after
3 years</t>
  </si>
  <si>
    <t xml:space="preserve">Retained after
5 years</t>
  </si>
  <si>
    <t xml:space="preserve">Tesla Model Y (this analysis)</t>
  </si>
  <si>
    <t xml:space="preserve">Linked live to the fitted curve. Cohort basis - i.e. measured against the price the owner actually paid, not against today's discounted list.</t>
  </si>
  <si>
    <t xml:space="preserve">Tesla Model Y</t>
  </si>
  <si>
    <t xml:space="preserve">US</t>
  </si>
  <si>
    <t xml:space="preserve">iSeeCars 2026 resale-value ranking.</t>
  </si>
  <si>
    <t xml:space="preserve">Tesla Model 3</t>
  </si>
  <si>
    <t xml:space="preserve">iSeeCars / CarEdge.</t>
  </si>
  <si>
    <t xml:space="preserve">Electric vehicles, average</t>
  </si>
  <si>
    <t xml:space="preserve">UAE EVs lose roughly half their value in three years; a 5-year-old EV sedan fetches near 40% of list. Source: expatcarbuyers.com.</t>
  </si>
  <si>
    <t xml:space="preserve">Petrol vehicles, average</t>
  </si>
  <si>
    <t xml:space="preserve">Petrol cars shed about a third over three years. Source: expatcarbuyers.com, dubizzle.</t>
  </si>
  <si>
    <t xml:space="preserve">Nissan Patrol</t>
  </si>
  <si>
    <t xml:space="preserve">The UAE residual-value benchmark. Retains ~56% at five years.</t>
  </si>
  <si>
    <t xml:space="preserve">Toyota Land Cruiser</t>
  </si>
  <si>
    <t xml:space="preserve">Toyota leads UAE value retention; Land Cruiser and Hilux strongest.</t>
  </si>
  <si>
    <t xml:space="preserve">Japanese brands, average</t>
  </si>
  <si>
    <t xml:space="preserve">60-75% retained at three years.</t>
  </si>
  <si>
    <t xml:space="preserve">European luxury brands, average</t>
  </si>
  <si>
    <t xml:space="preserve">40-55% retained at three years.</t>
  </si>
  <si>
    <t xml:space="preserve">All vehicles, average</t>
  </si>
  <si>
    <t xml:space="preserve">iSeeCars: all vehicles lose 41.5% over five years.</t>
  </si>
  <si>
    <t xml:space="preserve">Model Y vs. Nissan Patrol, 5-year retention gap</t>
  </si>
  <si>
    <t xml:space="preserve">In percentage points of the original price. On a AED 235,000 car that is a very large number of dirhams.</t>
  </si>
  <si>
    <t xml:space="preserve">Same gap, expressed in AED on a AED 235,000 car</t>
  </si>
  <si>
    <t xml:space="preserve">READ: the Model Y depreciates clearly faster than the Japanese body-on-frame SUVs that define UAE resale, and lands roughly where a German luxury SUV lands - but with a much more front-loaded shape. It is also a little worse than the same car in the US, which is what you would expect from a thin market, no local FSD, and heat-related battery anxiety.</t>
  </si>
  <si>
    <t xml:space="preserve">Charts</t>
  </si>
  <si>
    <t xml:space="preserve">The helper block below feeds the scatter chart; it links back to 'Used Listings'.</t>
  </si>
  <si>
    <t xml:space="preserve">Helper: high/medium-confidence listings with odometer</t>
  </si>
  <si>
    <t xml:space="preserve">Asking price (AED)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</si>
</sst>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;\(#,##0\);\-"/>
    <numFmt numFmtId="167" formatCode="0.0%;\(0.0%\);\-"/>
    <numFmt numFmtId="168" formatCode="0.0"/>
    <numFmt numFmtId="169" formatCode="0.00"/>
    <numFmt numFmtId="170" formatCode="0%"/>
    <numFmt numFmtId="171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2F2F2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FBE4E4"/>
        <bgColor rgb="FFF2F2F2"/>
      </patternFill>
    </fill>
    <fill>
      <patternFill patternType="solid">
        <fgColor rgb="FFFFF2CC"/>
        <bgColor rgb="FFFB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AA433F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BE4E4"/>
      <rgbColor rgb="FF4A7EBB"/>
      <rgbColor rgb="FF33CCCC"/>
      <rgbColor rgb="FF99CC00"/>
      <rgbColor rgb="FFFFCC00"/>
      <rgbColor rgb="FFFF9900"/>
      <rgbColor rgb="FFFF6600"/>
      <rgbColor rgb="FF595959"/>
      <rgbColor rgb="FFCC8F8E"/>
      <rgbColor rgb="FF1F3864"/>
      <rgbColor rgb="FF4F81BD"/>
      <rgbColor rgb="FF003300"/>
      <rgbColor rgb="FF333300"/>
      <rgbColor rgb="FF993300"/>
      <rgbColor rgb="FFBE4B48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Tesla Model Y residual value vs. age — UAE / Abu Dhabi (July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'Depreciation Curve'!E4</c:f>
              <c:strCache>
                <c:ptCount val="1"/>
                <c:pt idx="0">
                  <c:v>% of MSRP
paid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'Depreciation Curve'!$A$5:$A$15</c:f>
              <c:strCache>
                <c:ptCount val="1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</c:strCache>
            </c:strRef>
          </c:cat>
          <c:val>
            <c:numRef>
              <c:f>'Depreciation Curve'!$E$5:$E$15</c:f>
              <c:numCache>
                <c:formatCode>0.0%;\(0.0%\);\-</c:formatCode>
                <c:ptCount val="11"/>
                <c:pt idx="0">
                  <c:v>1</c:v>
                </c:pt>
                <c:pt idx="1">
                  <c:v>0.859903381642512</c:v>
                </c:pt>
                <c:pt idx="2">
                  <c:v>0.747654650221439</c:v>
                </c:pt>
                <c:pt idx="3">
                  <c:v>0.674418604651163</c:v>
                </c:pt>
                <c:pt idx="4">
                  <c:v>0.615937088049457</c:v>
                </c:pt>
                <c:pt idx="5">
                  <c:v>0.564444444444444</c:v>
                </c:pt>
                <c:pt idx="6">
                  <c:v>0.513065785468933</c:v>
                </c:pt>
                <c:pt idx="7">
                  <c:v>0.473118279569893</c:v>
                </c:pt>
                <c:pt idx="8">
                  <c:v>0.436188773990383</c:v>
                </c:pt>
                <c:pt idx="9">
                  <c:v>0.406400272352015</c:v>
                </c:pt>
                <c:pt idx="10">
                  <c:v>0.378739520830674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'Depreciation Curve'!F4</c:f>
              <c:strCache>
                <c:ptCount val="1"/>
                <c:pt idx="0">
                  <c:v>% of TODAY's
new price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'Depreciation Curve'!$A$5:$A$15</c:f>
              <c:strCache>
                <c:ptCount val="1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</c:strCache>
            </c:strRef>
          </c:cat>
          <c:val>
            <c:numRef>
              <c:f>'Depreciation Curve'!$F$5:$F$15</c:f>
              <c:numCache>
                <c:formatCode>0.0%;\(0.0%\);\-</c:formatCode>
                <c:ptCount val="11"/>
                <c:pt idx="0">
                  <c:v>1</c:v>
                </c:pt>
                <c:pt idx="1">
                  <c:v>0.868335040733694</c:v>
                </c:pt>
                <c:pt idx="2">
                  <c:v>0.765891019074101</c:v>
                </c:pt>
                <c:pt idx="3">
                  <c:v>0.707351578125762</c:v>
                </c:pt>
                <c:pt idx="4">
                  <c:v>0.661007854041661</c:v>
                </c:pt>
                <c:pt idx="5">
                  <c:v>0.619542416703254</c:v>
                </c:pt>
                <c:pt idx="6">
                  <c:v>0.575637835992</c:v>
                </c:pt>
                <c:pt idx="7">
                  <c:v>0.53661154202644</c:v>
                </c:pt>
                <c:pt idx="8">
                  <c:v>0.500024391433729</c:v>
                </c:pt>
                <c:pt idx="9">
                  <c:v>0.465876384213864</c:v>
                </c:pt>
                <c:pt idx="10">
                  <c:v>0.434167520366847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5263421"/>
        <c:axId val="35365098"/>
      </c:lineChart>
      <c:catAx>
        <c:axId val="552634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65098"/>
        <c:crosses val="autoZero"/>
        <c:auto val="1"/>
        <c:lblAlgn val="ctr"/>
        <c:lblOffset val="100"/>
        <c:noMultiLvlLbl val="0"/>
      </c:catAx>
      <c:valAx>
        <c:axId val="35365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price retained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63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Y Long Range AWD — value in AED vs.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'Depreciation Curve'!C4</c:f>
              <c:strCache>
                <c:ptCount val="1"/>
                <c:pt idx="0">
                  <c:v>MSRP the cohort
actually paid (AED)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circle"/>
            <c:size val="6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'Depreciation Curve'!$A$5:$A$15</c:f>
              <c:strCache>
                <c:ptCount val="1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</c:strCache>
            </c:strRef>
          </c:cat>
          <c:val>
            <c:numRef>
              <c:f>'Depreciation Curve'!$C$5:$C$15</c:f>
              <c:numCache>
                <c:formatCode>#,##0;\(#,##0\);\-</c:formatCode>
                <c:ptCount val="11"/>
                <c:pt idx="0">
                  <c:v>204990</c:v>
                </c:pt>
                <c:pt idx="1">
                  <c:v>207000</c:v>
                </c:pt>
                <c:pt idx="2">
                  <c:v>209990</c:v>
                </c:pt>
                <c:pt idx="3">
                  <c:v>215000</c:v>
                </c:pt>
                <c:pt idx="4">
                  <c:v>219990</c:v>
                </c:pt>
                <c:pt idx="5">
                  <c:v>225000</c:v>
                </c:pt>
                <c:pt idx="6">
                  <c:v>229990</c:v>
                </c:pt>
                <c:pt idx="7">
                  <c:v>232500</c:v>
                </c:pt>
                <c:pt idx="8">
                  <c:v>234990</c:v>
                </c:pt>
                <c:pt idx="9">
                  <c:v>234990</c:v>
                </c:pt>
                <c:pt idx="10">
                  <c:v>234990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'Depreciation Curve'!D4</c:f>
              <c:strCache>
                <c:ptCount val="1"/>
                <c:pt idx="0">
                  <c:v>Fitted market
value (AED)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circle"/>
            <c:size val="6"/>
            <c:spPr>
              <a:solidFill>
                <a:srgbClr val="cc8f8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'Depreciation Curve'!$A$5:$A$15</c:f>
              <c:strCache>
                <c:ptCount val="1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</c:strCache>
            </c:strRef>
          </c:cat>
          <c:val>
            <c:numRef>
              <c:f>'Depreciation Curve'!$D$5:$D$15</c:f>
              <c:numCache>
                <c:formatCode>#,##0;\(#,##0\);\-</c:formatCode>
                <c:ptCount val="11"/>
                <c:pt idx="0">
                  <c:v>204990</c:v>
                </c:pt>
                <c:pt idx="1">
                  <c:v>178000</c:v>
                </c:pt>
                <c:pt idx="2">
                  <c:v>157000</c:v>
                </c:pt>
                <c:pt idx="3">
                  <c:v>145000</c:v>
                </c:pt>
                <c:pt idx="4">
                  <c:v>135500</c:v>
                </c:pt>
                <c:pt idx="5">
                  <c:v>127000</c:v>
                </c:pt>
                <c:pt idx="6">
                  <c:v>118000</c:v>
                </c:pt>
                <c:pt idx="7">
                  <c:v>110000</c:v>
                </c:pt>
                <c:pt idx="8">
                  <c:v>102500</c:v>
                </c:pt>
                <c:pt idx="9">
                  <c:v>95500</c:v>
                </c:pt>
                <c:pt idx="10">
                  <c:v>89000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170052"/>
        <c:axId val="76277295"/>
      </c:lineChart>
      <c:catAx>
        <c:axId val="31700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77295"/>
        <c:crosses val="autoZero"/>
        <c:auto val="1"/>
        <c:lblAlgn val="ctr"/>
        <c:lblOffset val="100"/>
        <c:noMultiLvlLbl val="0"/>
      </c:catAx>
      <c:valAx>
        <c:axId val="76277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00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money goes — AED lost per year of ownership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'Depreciation Curve'!$A$29:$A$33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'Depreciation Curve'!$D$29:$D$33</c:f>
              <c:numCache>
                <c:formatCode>#,##0;\(#,##0\);\-</c:formatCode>
                <c:ptCount val="5"/>
                <c:pt idx="0">
                  <c:v>47990</c:v>
                </c:pt>
                <c:pt idx="1">
                  <c:v>21500</c:v>
                </c:pt>
                <c:pt idx="2">
                  <c:v>17500</c:v>
                </c:pt>
                <c:pt idx="3">
                  <c:v>15500</c:v>
                </c:pt>
                <c:pt idx="4">
                  <c:v>13500</c:v>
                </c:pt>
              </c:numCache>
            </c:numRef>
          </c:val>
        </c:ser>
        <c:gapWidth val="150"/>
        <c:overlap val="0"/>
        <c:axId val="87751828"/>
        <c:axId val="10325635"/>
      </c:barChart>
      <c:catAx>
        <c:axId val="877518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 of ownership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25635"/>
        <c:crosses val="autoZero"/>
        <c:auto val="1"/>
        <c:lblAlgn val="ctr"/>
        <c:lblOffset val="100"/>
        <c:noMultiLvlLbl val="0"/>
      </c:catAx>
      <c:valAx>
        <c:axId val="10325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AED lost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518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value retention — Model Y vs. the UAE market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Benchmarks!$A$4:$A$13</c:f>
              <c:strCache>
                <c:ptCount val="10"/>
                <c:pt idx="0">
                  <c:v>Tesla Model Y (this analysis)</c:v>
                </c:pt>
                <c:pt idx="1">
                  <c:v>Tesla Model Y</c:v>
                </c:pt>
                <c:pt idx="2">
                  <c:v>Tesla Model 3</c:v>
                </c:pt>
                <c:pt idx="3">
                  <c:v>Electric vehicles, average</c:v>
                </c:pt>
                <c:pt idx="4">
                  <c:v>Petrol vehicles, average</c:v>
                </c:pt>
                <c:pt idx="5">
                  <c:v>Nissan Patrol</c:v>
                </c:pt>
                <c:pt idx="6">
                  <c:v>Toyota Land Cruiser</c:v>
                </c:pt>
                <c:pt idx="7">
                  <c:v>Japanese brands, average</c:v>
                </c:pt>
                <c:pt idx="8">
                  <c:v>European luxury brands, average</c:v>
                </c:pt>
                <c:pt idx="9">
                  <c:v>All vehicles, average</c:v>
                </c:pt>
              </c:strCache>
            </c:strRef>
          </c:cat>
          <c:val>
            <c:numRef>
              <c:f>Benchmarks!$C$4:$C$13</c:f>
              <c:numCache>
                <c:formatCode>0.0%;\(0.0%\);\-</c:formatCode>
                <c:ptCount val="10"/>
                <c:pt idx="0">
                  <c:v>0.378739520830674</c:v>
                </c:pt>
                <c:pt idx="1">
                  <c:v>0.419</c:v>
                </c:pt>
                <c:pt idx="2">
                  <c:v>0.455</c:v>
                </c:pt>
                <c:pt idx="3">
                  <c:v>0.4</c:v>
                </c:pt>
                <c:pt idx="4">
                  <c:v>0.6</c:v>
                </c:pt>
                <c:pt idx="5">
                  <c:v>0.56</c:v>
                </c:pt>
                <c:pt idx="6">
                  <c:v>0.58</c:v>
                </c:pt>
                <c:pt idx="9">
                  <c:v>0.585</c:v>
                </c:pt>
              </c:numCache>
            </c:numRef>
          </c:val>
        </c:ser>
        <c:gapWidth val="150"/>
        <c:overlap val="0"/>
        <c:axId val="50948347"/>
        <c:axId val="57056177"/>
      </c:barChart>
      <c:catAx>
        <c:axId val="5094834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retained after 5 years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56177"/>
        <c:crosses val="autoZero"/>
        <c:auto val="1"/>
        <c:lblAlgn val="ctr"/>
        <c:lblOffset val="100"/>
        <c:noMultiLvlLbl val="0"/>
      </c:catAx>
      <c:valAx>
        <c:axId val="57056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483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Observed UAE listings — asking price vs. odometer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Charts!C71</c:f>
              <c:strCache>
                <c:ptCount val="1"/>
                <c:pt idx="0">
                  <c:v>Asking price (AED)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Charts!$B$72:$B$80</c:f>
              <c:numCache>
                <c:formatCode>#,##0;\(#,##0\);\-</c:formatCode>
                <c:ptCount val="9"/>
                <c:pt idx="0">
                  <c:v>52554</c:v>
                </c:pt>
                <c:pt idx="1">
                  <c:v>95000</c:v>
                </c:pt>
                <c:pt idx="2">
                  <c:v>65000</c:v>
                </c:pt>
                <c:pt idx="3">
                  <c:v>57126</c:v>
                </c:pt>
                <c:pt idx="4">
                  <c:v>29000</c:v>
                </c:pt>
                <c:pt idx="5">
                  <c:v>19850</c:v>
                </c:pt>
                <c:pt idx="6">
                  <c:v>19000</c:v>
                </c:pt>
                <c:pt idx="7">
                  <c:v>61600</c:v>
                </c:pt>
                <c:pt idx="8">
                  <c:v>18000</c:v>
                </c:pt>
              </c:numCache>
            </c:numRef>
          </c:xVal>
          <c:yVal>
            <c:numRef>
              <c:f>Charts!$C$72:$C$80</c:f>
              <c:numCache>
                <c:formatCode>#,##0;\(#,##0\);\-</c:formatCode>
                <c:ptCount val="9"/>
                <c:pt idx="0">
                  <c:v>119000</c:v>
                </c:pt>
                <c:pt idx="1">
                  <c:v>86999</c:v>
                </c:pt>
                <c:pt idx="2">
                  <c:v>109750</c:v>
                </c:pt>
                <c:pt idx="3">
                  <c:v>111999</c:v>
                </c:pt>
                <c:pt idx="4">
                  <c:v>149000</c:v>
                </c:pt>
                <c:pt idx="5">
                  <c:v>151000</c:v>
                </c:pt>
                <c:pt idx="6">
                  <c:v>109000</c:v>
                </c:pt>
                <c:pt idx="7">
                  <c:v>121400</c:v>
                </c:pt>
                <c:pt idx="8">
                  <c:v>149999</c:v>
                </c:pt>
              </c:numCache>
            </c:numRef>
          </c:yVal>
          <c:smooth val="1"/>
        </c:ser>
        <c:axId val="40209968"/>
        <c:axId val="70727735"/>
      </c:scatterChart>
      <c:valAx>
        <c:axId val="402099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Odometer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27735"/>
        <c:crosses val="autoZero"/>
        <c:crossBetween val="midCat"/>
      </c:valAx>
      <c:valAx>
        <c:axId val="70727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Asking 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0996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Why it feels worse than the curve: cohort vs. today's replacement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'Depreciation Curve'!E4</c:f>
              <c:strCache>
                <c:ptCount val="1"/>
                <c:pt idx="0">
                  <c:v>% of MSRP
paid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'Depreciation Curve'!$A$5:$A$15</c:f>
              <c:strCache>
                <c:ptCount val="1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</c:strCache>
            </c:strRef>
          </c:cat>
          <c:val>
            <c:numRef>
              <c:f>'Depreciation Curve'!$E$5:$E$15</c:f>
              <c:numCache>
                <c:formatCode>0.0%;\(0.0%\);\-</c:formatCode>
                <c:ptCount val="11"/>
                <c:pt idx="0">
                  <c:v>1</c:v>
                </c:pt>
                <c:pt idx="1">
                  <c:v>0.859903381642512</c:v>
                </c:pt>
                <c:pt idx="2">
                  <c:v>0.747654650221439</c:v>
                </c:pt>
                <c:pt idx="3">
                  <c:v>0.674418604651163</c:v>
                </c:pt>
                <c:pt idx="4">
                  <c:v>0.615937088049457</c:v>
                </c:pt>
                <c:pt idx="5">
                  <c:v>0.564444444444444</c:v>
                </c:pt>
                <c:pt idx="6">
                  <c:v>0.513065785468933</c:v>
                </c:pt>
                <c:pt idx="7">
                  <c:v>0.473118279569893</c:v>
                </c:pt>
                <c:pt idx="8">
                  <c:v>0.436188773990383</c:v>
                </c:pt>
                <c:pt idx="9">
                  <c:v>0.406400272352015</c:v>
                </c:pt>
                <c:pt idx="10">
                  <c:v>0.378739520830674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'Depreciation Curve'!F4</c:f>
              <c:strCache>
                <c:ptCount val="1"/>
                <c:pt idx="0">
                  <c:v>% of TODAY's
new price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'Depreciation Curve'!$A$5:$A$15</c:f>
              <c:strCache>
                <c:ptCount val="1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</c:strCache>
            </c:strRef>
          </c:cat>
          <c:val>
            <c:numRef>
              <c:f>'Depreciation Curve'!$F$5:$F$15</c:f>
              <c:numCache>
                <c:formatCode>0.0%;\(0.0%\);\-</c:formatCode>
                <c:ptCount val="11"/>
                <c:pt idx="0">
                  <c:v>1</c:v>
                </c:pt>
                <c:pt idx="1">
                  <c:v>0.868335040733694</c:v>
                </c:pt>
                <c:pt idx="2">
                  <c:v>0.765891019074101</c:v>
                </c:pt>
                <c:pt idx="3">
                  <c:v>0.707351578125762</c:v>
                </c:pt>
                <c:pt idx="4">
                  <c:v>0.661007854041661</c:v>
                </c:pt>
                <c:pt idx="5">
                  <c:v>0.619542416703254</c:v>
                </c:pt>
                <c:pt idx="6">
                  <c:v>0.575637835992</c:v>
                </c:pt>
                <c:pt idx="7">
                  <c:v>0.53661154202644</c:v>
                </c:pt>
                <c:pt idx="8">
                  <c:v>0.500024391433729</c:v>
                </c:pt>
                <c:pt idx="9">
                  <c:v>0.465876384213864</c:v>
                </c:pt>
                <c:pt idx="10">
                  <c:v>0.434167520366847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036902"/>
        <c:axId val="85534152"/>
      </c:lineChart>
      <c:catAx>
        <c:axId val="380369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34152"/>
        <c:crosses val="autoZero"/>
        <c:auto val="1"/>
        <c:lblAlgn val="ctr"/>
        <c:lblOffset val="100"/>
        <c:noMultiLvlLbl val="0"/>
      </c:catAx>
      <c:valAx>
        <c:axId val="855341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retained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369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12</xdr:col>
      <xdr:colOff>292680</xdr:colOff>
      <xdr:row>22</xdr:row>
      <xdr:rowOff>149400</xdr:rowOff>
    </xdr:to>
    <xdr:graphicFrame>
      <xdr:nvGraphicFramePr>
        <xdr:cNvPr id="0" name="Chart 1"/>
        <xdr:cNvGraphicFramePr/>
      </xdr:nvGraphicFramePr>
      <xdr:xfrm>
        <a:off x="266760" y="466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12</xdr:col>
      <xdr:colOff>292680</xdr:colOff>
      <xdr:row>45</xdr:row>
      <xdr:rowOff>149400</xdr:rowOff>
    </xdr:to>
    <xdr:graphicFrame>
      <xdr:nvGraphicFramePr>
        <xdr:cNvPr id="1" name="Chart 2"/>
        <xdr:cNvGraphicFramePr/>
      </xdr:nvGraphicFramePr>
      <xdr:xfrm>
        <a:off x="266760" y="484812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9</xdr:col>
      <xdr:colOff>408960</xdr:colOff>
      <xdr:row>66</xdr:row>
      <xdr:rowOff>170640</xdr:rowOff>
    </xdr:to>
    <xdr:graphicFrame>
      <xdr:nvGraphicFramePr>
        <xdr:cNvPr id="2" name="Chart 3"/>
        <xdr:cNvGraphicFramePr/>
      </xdr:nvGraphicFramePr>
      <xdr:xfrm>
        <a:off x="266760" y="9229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48</xdr:row>
      <xdr:rowOff>0</xdr:rowOff>
    </xdr:from>
    <xdr:to>
      <xdr:col>21</xdr:col>
      <xdr:colOff>408960</xdr:colOff>
      <xdr:row>67</xdr:row>
      <xdr:rowOff>700200</xdr:rowOff>
    </xdr:to>
    <xdr:graphicFrame>
      <xdr:nvGraphicFramePr>
        <xdr:cNvPr id="3" name="Chart 4"/>
        <xdr:cNvGraphicFramePr/>
      </xdr:nvGraphicFramePr>
      <xdr:xfrm>
        <a:off x="9372600" y="9229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2</xdr:row>
      <xdr:rowOff>0</xdr:rowOff>
    </xdr:from>
    <xdr:to>
      <xdr:col>21</xdr:col>
      <xdr:colOff>408960</xdr:colOff>
      <xdr:row>22</xdr:row>
      <xdr:rowOff>149400</xdr:rowOff>
    </xdr:to>
    <xdr:graphicFrame>
      <xdr:nvGraphicFramePr>
        <xdr:cNvPr id="4" name="Chart 5"/>
        <xdr:cNvGraphicFramePr/>
      </xdr:nvGraphicFramePr>
      <xdr:xfrm>
        <a:off x="9372600" y="46656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25</xdr:row>
      <xdr:rowOff>0</xdr:rowOff>
    </xdr:from>
    <xdr:to>
      <xdr:col>21</xdr:col>
      <xdr:colOff>408960</xdr:colOff>
      <xdr:row>43</xdr:row>
      <xdr:rowOff>170640</xdr:rowOff>
    </xdr:to>
    <xdr:graphicFrame>
      <xdr:nvGraphicFramePr>
        <xdr:cNvPr id="5" name="Chart 6"/>
        <xdr:cNvGraphicFramePr/>
      </xdr:nvGraphicFramePr>
      <xdr:xfrm>
        <a:off x="9372600" y="4848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8"/>
  </cols>
  <sheetData>
    <row r="1" customFormat="false" ht="21.75" hidden="false" customHeight="true" outlineLevel="0" collapsed="false">
      <c r="A1" s="1" t="s">
        <v>0</v>
      </c>
      <c r="B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30" hidden="false" customHeight="true" outlineLevel="0" collapsed="false">
      <c r="A4" s="3" t="s">
        <v>3</v>
      </c>
      <c r="B4" s="4" t="s">
        <v>4</v>
      </c>
    </row>
    <row r="5" customFormat="false" ht="45" hidden="false" customHeight="true" outlineLevel="0" collapsed="false">
      <c r="A5" s="3" t="s">
        <v>5</v>
      </c>
      <c r="B5" s="4" t="s">
        <v>6</v>
      </c>
    </row>
    <row r="6" customFormat="false" ht="30" hidden="false" customHeight="tru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5" t="s">
        <v>9</v>
      </c>
      <c r="B8" s="4"/>
    </row>
    <row r="9" customFormat="false" ht="45" hidden="false" customHeight="true" outlineLevel="0" collapsed="false">
      <c r="A9" s="3" t="s">
        <v>10</v>
      </c>
      <c r="B9" s="4" t="s">
        <v>11</v>
      </c>
    </row>
    <row r="10" customFormat="false" ht="45" hidden="false" customHeight="true" outlineLevel="0" collapsed="false">
      <c r="A10" s="3" t="s">
        <v>12</v>
      </c>
      <c r="B10" s="4" t="s">
        <v>13</v>
      </c>
    </row>
    <row r="11" customFormat="false" ht="45" hidden="false" customHeight="true" outlineLevel="0" collapsed="false">
      <c r="A11" s="3" t="s">
        <v>14</v>
      </c>
      <c r="B11" s="4" t="s">
        <v>15</v>
      </c>
    </row>
    <row r="12" customFormat="false" ht="30" hidden="false" customHeight="tru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5" t="s">
        <v>20</v>
      </c>
      <c r="B15" s="4"/>
    </row>
    <row r="16" customFormat="false" ht="45" hidden="false" customHeight="true" outlineLevel="0" collapsed="false">
      <c r="A16" s="3" t="s">
        <v>21</v>
      </c>
      <c r="B16" s="4" t="s">
        <v>22</v>
      </c>
    </row>
    <row r="17" customFormat="false" ht="45" hidden="false" customHeight="true" outlineLevel="0" collapsed="false">
      <c r="A17" s="3" t="s">
        <v>23</v>
      </c>
      <c r="B17" s="4" t="s">
        <v>24</v>
      </c>
    </row>
    <row r="18" customFormat="false" ht="45" hidden="false" customHeight="true" outlineLevel="0" collapsed="false">
      <c r="A18" s="3" t="s">
        <v>25</v>
      </c>
      <c r="B18" s="4" t="s">
        <v>26</v>
      </c>
    </row>
    <row r="19" customFormat="false" ht="30" hidden="false" customHeight="true" outlineLevel="0" collapsed="false">
      <c r="A19" s="3" t="s">
        <v>27</v>
      </c>
      <c r="B19" s="4" t="s">
        <v>28</v>
      </c>
    </row>
    <row r="20" customFormat="false" ht="15" hidden="false" customHeight="false" outlineLevel="0" collapsed="false">
      <c r="A20" s="3"/>
      <c r="B20" s="4"/>
    </row>
    <row r="21" customFormat="false" ht="15" hidden="false" customHeight="false" outlineLevel="0" collapsed="false">
      <c r="A21" s="5" t="s">
        <v>29</v>
      </c>
      <c r="B21" s="4"/>
    </row>
    <row r="22" customFormat="false" ht="45" hidden="false" customHeight="true" outlineLevel="0" collapsed="false">
      <c r="A22" s="3" t="s">
        <v>30</v>
      </c>
      <c r="B22" s="4" t="s">
        <v>31</v>
      </c>
    </row>
    <row r="23" customFormat="false" ht="30" hidden="false" customHeight="true" outlineLevel="0" collapsed="false">
      <c r="A23" s="3" t="s">
        <v>32</v>
      </c>
      <c r="B23" s="4" t="s">
        <v>33</v>
      </c>
    </row>
    <row r="24" customFormat="false" ht="30" hidden="false" customHeight="true" outlineLevel="0" collapsed="false">
      <c r="A24" s="3" t="s">
        <v>34</v>
      </c>
      <c r="B24" s="4" t="s">
        <v>35</v>
      </c>
    </row>
    <row r="25" customFormat="false" ht="30" hidden="false" customHeight="true" outlineLevel="0" collapsed="false">
      <c r="A25" s="3" t="s">
        <v>36</v>
      </c>
      <c r="B25" s="4" t="s">
        <v>37</v>
      </c>
    </row>
    <row r="26" customFormat="false" ht="15" hidden="false" customHeight="false" outlineLevel="0" collapsed="false">
      <c r="A26" s="3"/>
      <c r="B26" s="4"/>
    </row>
    <row r="27" customFormat="false" ht="15" hidden="false" customHeight="false" outlineLevel="0" collapsed="false">
      <c r="A27" s="5" t="s">
        <v>38</v>
      </c>
      <c r="B27" s="4"/>
    </row>
    <row r="28" customFormat="false" ht="15" hidden="false" customHeight="false" outlineLevel="0" collapsed="false">
      <c r="A28" s="3" t="s">
        <v>39</v>
      </c>
      <c r="B28" s="4" t="s">
        <v>40</v>
      </c>
    </row>
    <row r="29" customFormat="false" ht="15" hidden="false" customHeight="false" outlineLevel="0" collapsed="false">
      <c r="A29" s="3" t="s">
        <v>41</v>
      </c>
      <c r="B29" s="4" t="s">
        <v>42</v>
      </c>
    </row>
    <row r="30" customFormat="false" ht="15" hidden="false" customHeight="false" outlineLevel="0" collapsed="false">
      <c r="A30" s="3" t="s">
        <v>43</v>
      </c>
      <c r="B30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8"/>
    <col collapsed="false" customWidth="true" hidden="false" outlineLevel="0" max="6" min="6" style="0" width="14"/>
    <col collapsed="false" customWidth="true" hidden="false" outlineLevel="0" max="7" min="7" style="0" width="58"/>
  </cols>
  <sheetData>
    <row r="1" customFormat="false" ht="21.75" hidden="false" customHeight="true" outlineLevel="0" collapsed="false">
      <c r="A1" s="1" t="s">
        <v>45</v>
      </c>
      <c r="B1" s="2"/>
      <c r="C1" s="2"/>
      <c r="D1" s="2"/>
      <c r="E1" s="2"/>
      <c r="F1" s="2"/>
      <c r="G1" s="2"/>
    </row>
    <row r="3" customFormat="false" ht="30" hidden="false" customHeight="true" outlineLevel="0" collapsed="false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</row>
    <row r="4" customFormat="false" ht="31.5" hidden="false" customHeight="true" outlineLevel="0" collapsed="false">
      <c r="A4" s="7" t="n">
        <v>2022</v>
      </c>
      <c r="B4" s="8" t="s">
        <v>53</v>
      </c>
      <c r="C4" s="8" t="s">
        <v>53</v>
      </c>
      <c r="D4" s="9" t="n">
        <v>234990</v>
      </c>
      <c r="E4" s="8" t="s">
        <v>53</v>
      </c>
      <c r="F4" s="10" t="s">
        <v>54</v>
      </c>
      <c r="G4" s="11" t="s">
        <v>55</v>
      </c>
    </row>
    <row r="5" customFormat="false" ht="31.5" hidden="false" customHeight="true" outlineLevel="0" collapsed="false">
      <c r="A5" s="7" t="n">
        <v>2023</v>
      </c>
      <c r="B5" s="8" t="s">
        <v>53</v>
      </c>
      <c r="C5" s="8" t="s">
        <v>53</v>
      </c>
      <c r="D5" s="9" t="n">
        <v>229990</v>
      </c>
      <c r="E5" s="9" t="n">
        <v>249990</v>
      </c>
      <c r="F5" s="10" t="s">
        <v>56</v>
      </c>
      <c r="G5" s="11" t="s">
        <v>57</v>
      </c>
    </row>
    <row r="6" customFormat="false" ht="31.5" hidden="false" customHeight="true" outlineLevel="0" collapsed="false">
      <c r="A6" s="7" t="n">
        <v>2024</v>
      </c>
      <c r="B6" s="9" t="n">
        <v>178670</v>
      </c>
      <c r="C6" s="8" t="s">
        <v>53</v>
      </c>
      <c r="D6" s="9" t="n">
        <v>219990</v>
      </c>
      <c r="E6" s="9" t="n">
        <v>243670</v>
      </c>
      <c r="F6" s="10" t="s">
        <v>54</v>
      </c>
      <c r="G6" s="11" t="s">
        <v>58</v>
      </c>
    </row>
    <row r="7" customFormat="false" ht="31.5" hidden="false" customHeight="true" outlineLevel="0" collapsed="false">
      <c r="A7" s="7" t="n">
        <v>2025</v>
      </c>
      <c r="B7" s="9" t="n">
        <v>179000</v>
      </c>
      <c r="C7" s="8" t="s">
        <v>53</v>
      </c>
      <c r="D7" s="9" t="n">
        <v>209990</v>
      </c>
      <c r="E7" s="8" t="s">
        <v>53</v>
      </c>
      <c r="F7" s="10" t="s">
        <v>54</v>
      </c>
      <c r="G7" s="11" t="s">
        <v>59</v>
      </c>
    </row>
    <row r="8" customFormat="false" ht="31.5" hidden="false" customHeight="true" outlineLevel="0" collapsed="false">
      <c r="A8" s="7" t="n">
        <v>2026</v>
      </c>
      <c r="B8" s="9" t="n">
        <v>174990</v>
      </c>
      <c r="C8" s="9" t="n">
        <v>189990</v>
      </c>
      <c r="D8" s="9" t="n">
        <v>204990</v>
      </c>
      <c r="E8" s="8" t="s">
        <v>53</v>
      </c>
      <c r="F8" s="10" t="s">
        <v>54</v>
      </c>
      <c r="G8" s="11" t="s">
        <v>60</v>
      </c>
    </row>
    <row r="10" customFormat="false" ht="22.35" hidden="false" customHeight="false" outlineLevel="0" collapsed="false">
      <c r="A10" s="3" t="s">
        <v>61</v>
      </c>
      <c r="D10" s="12" t="n">
        <f aca="false">D8/D4-1</f>
        <v>-0.127665007021575</v>
      </c>
      <c r="G10" s="13" t="s">
        <v>62</v>
      </c>
    </row>
    <row r="12" customFormat="false" ht="15" hidden="false" customHeight="false" outlineLevel="0" collapsed="false">
      <c r="A12" s="5" t="s">
        <v>63</v>
      </c>
    </row>
    <row r="13" customFormat="false" ht="30" hidden="false" customHeight="true" outlineLevel="0" collapsed="false">
      <c r="A13" s="6" t="s">
        <v>64</v>
      </c>
      <c r="B13" s="6" t="s">
        <v>65</v>
      </c>
      <c r="C13" s="6"/>
      <c r="D13" s="6"/>
      <c r="E13" s="6"/>
      <c r="F13" s="6" t="s">
        <v>66</v>
      </c>
      <c r="G13" s="6" t="s">
        <v>67</v>
      </c>
    </row>
    <row r="14" customFormat="false" ht="31.5" hidden="false" customHeight="true" outlineLevel="0" collapsed="false">
      <c r="A14" s="14" t="s">
        <v>68</v>
      </c>
      <c r="B14" s="15" t="n">
        <v>28100</v>
      </c>
      <c r="F14" s="16" t="n">
        <v>0.15</v>
      </c>
      <c r="G14" s="13" t="s">
        <v>69</v>
      </c>
    </row>
    <row r="15" customFormat="false" ht="31.5" hidden="false" customHeight="true" outlineLevel="0" collapsed="false">
      <c r="A15" s="14" t="s">
        <v>70</v>
      </c>
      <c r="B15" s="15" t="n">
        <v>14100</v>
      </c>
      <c r="F15" s="16" t="n">
        <v>0.25</v>
      </c>
      <c r="G15" s="13" t="s">
        <v>71</v>
      </c>
    </row>
    <row r="16" customFormat="false" ht="31.5" hidden="false" customHeight="true" outlineLevel="0" collapsed="false">
      <c r="A16" s="14" t="s">
        <v>72</v>
      </c>
      <c r="B16" s="15" t="n">
        <v>8000</v>
      </c>
      <c r="F16" s="16" t="n">
        <v>0.3</v>
      </c>
      <c r="G16" s="13" t="s">
        <v>73</v>
      </c>
    </row>
    <row r="17" customFormat="false" ht="31.5" hidden="false" customHeight="true" outlineLevel="0" collapsed="false">
      <c r="A17" s="14" t="s">
        <v>74</v>
      </c>
      <c r="B17" s="15" t="n">
        <v>8000</v>
      </c>
      <c r="F17" s="16" t="n">
        <v>0.25</v>
      </c>
      <c r="G17" s="13" t="s">
        <v>75</v>
      </c>
    </row>
    <row r="18" customFormat="false" ht="31.5" hidden="false" customHeight="true" outlineLevel="0" collapsed="false">
      <c r="A18" s="14" t="s">
        <v>76</v>
      </c>
      <c r="B18" s="15" t="n">
        <v>5000</v>
      </c>
      <c r="F18" s="16" t="n">
        <v>0.35</v>
      </c>
      <c r="G18" s="13" t="s">
        <v>77</v>
      </c>
    </row>
    <row r="19" customFormat="false" ht="22.35" hidden="false" customHeight="false" outlineLevel="0" collapsed="false">
      <c r="A19" s="3" t="s">
        <v>78</v>
      </c>
      <c r="B19" s="17" t="n">
        <f aca="false">SUMPRODUCT(B14:B18,1-F14:F18)</f>
        <v>49310</v>
      </c>
      <c r="G19" s="1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46"/>
  </cols>
  <sheetData>
    <row r="1" customFormat="false" ht="21.75" hidden="false" customHeight="true" outlineLevel="0" collapsed="false">
      <c r="A1" s="1" t="s">
        <v>80</v>
      </c>
      <c r="B1" s="2"/>
      <c r="C1" s="2"/>
      <c r="D1" s="2"/>
      <c r="E1" s="2"/>
      <c r="F1" s="2"/>
      <c r="G1" s="2"/>
      <c r="H1" s="2"/>
      <c r="I1" s="2"/>
    </row>
    <row r="3" customFormat="false" ht="30" hidden="false" customHeight="true" outlineLevel="0" collapsed="false">
      <c r="A3" s="6" t="s">
        <v>46</v>
      </c>
      <c r="B3" s="6" t="s">
        <v>81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86</v>
      </c>
      <c r="H3" s="6" t="s">
        <v>51</v>
      </c>
      <c r="I3" s="6" t="s">
        <v>87</v>
      </c>
    </row>
    <row r="4" customFormat="false" ht="39.75" hidden="false" customHeight="true" outlineLevel="0" collapsed="false">
      <c r="A4" s="7" t="n">
        <v>2021</v>
      </c>
      <c r="B4" s="18" t="n">
        <v>5.2</v>
      </c>
      <c r="C4" s="19" t="s">
        <v>88</v>
      </c>
      <c r="D4" s="20" t="s">
        <v>53</v>
      </c>
      <c r="E4" s="21" t="n">
        <v>79000</v>
      </c>
      <c r="F4" s="19" t="s">
        <v>89</v>
      </c>
      <c r="G4" s="19" t="s">
        <v>90</v>
      </c>
      <c r="H4" s="22" t="s">
        <v>56</v>
      </c>
      <c r="I4" s="11" t="s">
        <v>91</v>
      </c>
    </row>
    <row r="5" customFormat="false" ht="27.75" hidden="false" customHeight="true" outlineLevel="0" collapsed="false">
      <c r="A5" s="7" t="n">
        <v>2022</v>
      </c>
      <c r="B5" s="18" t="n">
        <v>4.2</v>
      </c>
      <c r="C5" s="19" t="s">
        <v>92</v>
      </c>
      <c r="D5" s="20" t="s">
        <v>53</v>
      </c>
      <c r="E5" s="21" t="n">
        <v>80800</v>
      </c>
      <c r="F5" s="19" t="s">
        <v>93</v>
      </c>
      <c r="G5" s="19" t="s">
        <v>94</v>
      </c>
      <c r="H5" s="22" t="s">
        <v>54</v>
      </c>
      <c r="I5" s="11" t="s">
        <v>95</v>
      </c>
    </row>
    <row r="6" customFormat="false" ht="27.75" hidden="false" customHeight="true" outlineLevel="0" collapsed="false">
      <c r="A6" s="7" t="n">
        <v>2022</v>
      </c>
      <c r="B6" s="18" t="n">
        <v>4.2</v>
      </c>
      <c r="C6" s="19" t="s">
        <v>96</v>
      </c>
      <c r="D6" s="21" t="n">
        <v>52554</v>
      </c>
      <c r="E6" s="21" t="n">
        <v>119000</v>
      </c>
      <c r="F6" s="19" t="s">
        <v>89</v>
      </c>
      <c r="G6" s="19" t="s">
        <v>90</v>
      </c>
      <c r="H6" s="22" t="s">
        <v>54</v>
      </c>
      <c r="I6" s="11" t="s">
        <v>97</v>
      </c>
    </row>
    <row r="7" customFormat="false" ht="27.75" hidden="false" customHeight="true" outlineLevel="0" collapsed="false">
      <c r="A7" s="7" t="n">
        <v>2022</v>
      </c>
      <c r="B7" s="18" t="n">
        <v>4.2</v>
      </c>
      <c r="C7" s="19" t="s">
        <v>98</v>
      </c>
      <c r="D7" s="21" t="n">
        <v>95000</v>
      </c>
      <c r="E7" s="21" t="n">
        <v>86999</v>
      </c>
      <c r="F7" s="19" t="s">
        <v>89</v>
      </c>
      <c r="G7" s="19" t="s">
        <v>90</v>
      </c>
      <c r="H7" s="22" t="s">
        <v>54</v>
      </c>
      <c r="I7" s="11" t="s">
        <v>99</v>
      </c>
    </row>
    <row r="8" customFormat="false" ht="39.75" hidden="false" customHeight="true" outlineLevel="0" collapsed="false">
      <c r="A8" s="23" t="n">
        <v>2022</v>
      </c>
      <c r="B8" s="24" t="n">
        <v>4.2</v>
      </c>
      <c r="C8" s="25" t="s">
        <v>100</v>
      </c>
      <c r="D8" s="26" t="n">
        <v>43744</v>
      </c>
      <c r="E8" s="26" t="n">
        <v>165000</v>
      </c>
      <c r="F8" s="25" t="s">
        <v>93</v>
      </c>
      <c r="G8" s="25" t="s">
        <v>101</v>
      </c>
      <c r="H8" s="27" t="s">
        <v>102</v>
      </c>
      <c r="I8" s="28" t="s">
        <v>103</v>
      </c>
    </row>
    <row r="9" customFormat="false" ht="15" hidden="false" customHeight="false" outlineLevel="0" collapsed="false">
      <c r="A9" s="23" t="n">
        <v>2022</v>
      </c>
      <c r="B9" s="24" t="n">
        <v>4.2</v>
      </c>
      <c r="C9" s="25" t="s">
        <v>100</v>
      </c>
      <c r="D9" s="26" t="n">
        <v>27560</v>
      </c>
      <c r="E9" s="26" t="n">
        <v>165000</v>
      </c>
      <c r="F9" s="25" t="s">
        <v>89</v>
      </c>
      <c r="G9" s="25" t="s">
        <v>90</v>
      </c>
      <c r="H9" s="27" t="s">
        <v>102</v>
      </c>
      <c r="I9" s="28" t="s">
        <v>104</v>
      </c>
    </row>
    <row r="10" customFormat="false" ht="27.75" hidden="false" customHeight="true" outlineLevel="0" collapsed="false">
      <c r="A10" s="7" t="n">
        <v>2023</v>
      </c>
      <c r="B10" s="18" t="n">
        <v>3.2</v>
      </c>
      <c r="C10" s="19" t="s">
        <v>105</v>
      </c>
      <c r="D10" s="20" t="s">
        <v>53</v>
      </c>
      <c r="E10" s="21" t="n">
        <v>89200</v>
      </c>
      <c r="F10" s="19" t="s">
        <v>93</v>
      </c>
      <c r="G10" s="19" t="s">
        <v>94</v>
      </c>
      <c r="H10" s="22" t="s">
        <v>54</v>
      </c>
      <c r="I10" s="11" t="s">
        <v>106</v>
      </c>
    </row>
    <row r="11" customFormat="false" ht="15" hidden="false" customHeight="false" outlineLevel="0" collapsed="false">
      <c r="A11" s="7" t="n">
        <v>2023</v>
      </c>
      <c r="B11" s="18" t="n">
        <v>3.2</v>
      </c>
      <c r="C11" s="19" t="s">
        <v>100</v>
      </c>
      <c r="D11" s="21" t="n">
        <v>65000</v>
      </c>
      <c r="E11" s="21" t="n">
        <v>109750</v>
      </c>
      <c r="F11" s="19" t="s">
        <v>93</v>
      </c>
      <c r="G11" s="19" t="s">
        <v>90</v>
      </c>
      <c r="H11" s="22" t="s">
        <v>54</v>
      </c>
      <c r="I11" s="11" t="s">
        <v>107</v>
      </c>
    </row>
    <row r="12" customFormat="false" ht="15" hidden="false" customHeight="false" outlineLevel="0" collapsed="false">
      <c r="A12" s="7" t="n">
        <v>2023</v>
      </c>
      <c r="B12" s="18" t="n">
        <v>3.2</v>
      </c>
      <c r="C12" s="19" t="s">
        <v>108</v>
      </c>
      <c r="D12" s="21" t="n">
        <v>57126</v>
      </c>
      <c r="E12" s="21" t="n">
        <v>111999</v>
      </c>
      <c r="F12" s="19" t="s">
        <v>89</v>
      </c>
      <c r="G12" s="19" t="s">
        <v>90</v>
      </c>
      <c r="H12" s="22" t="s">
        <v>54</v>
      </c>
      <c r="I12" s="11"/>
    </row>
    <row r="13" customFormat="false" ht="15" hidden="false" customHeight="false" outlineLevel="0" collapsed="false">
      <c r="A13" s="7" t="n">
        <v>2023</v>
      </c>
      <c r="B13" s="18" t="n">
        <v>3.2</v>
      </c>
      <c r="C13" s="19" t="s">
        <v>109</v>
      </c>
      <c r="D13" s="21" t="n">
        <v>29000</v>
      </c>
      <c r="E13" s="21" t="n">
        <v>149000</v>
      </c>
      <c r="F13" s="19" t="s">
        <v>89</v>
      </c>
      <c r="G13" s="19" t="s">
        <v>90</v>
      </c>
      <c r="H13" s="22" t="s">
        <v>54</v>
      </c>
      <c r="I13" s="11" t="s">
        <v>110</v>
      </c>
    </row>
    <row r="14" customFormat="false" ht="15" hidden="false" customHeight="false" outlineLevel="0" collapsed="false">
      <c r="A14" s="7" t="n">
        <v>2023</v>
      </c>
      <c r="B14" s="18" t="n">
        <v>3.2</v>
      </c>
      <c r="C14" s="19" t="s">
        <v>50</v>
      </c>
      <c r="D14" s="21" t="n">
        <v>19850</v>
      </c>
      <c r="E14" s="21" t="n">
        <v>151000</v>
      </c>
      <c r="F14" s="19" t="s">
        <v>89</v>
      </c>
      <c r="G14" s="19" t="s">
        <v>90</v>
      </c>
      <c r="H14" s="22" t="s">
        <v>54</v>
      </c>
      <c r="I14" s="11" t="s">
        <v>111</v>
      </c>
    </row>
    <row r="15" customFormat="false" ht="39.75" hidden="false" customHeight="true" outlineLevel="0" collapsed="false">
      <c r="A15" s="7" t="n">
        <v>2023</v>
      </c>
      <c r="B15" s="18" t="n">
        <v>3.2</v>
      </c>
      <c r="C15" s="19" t="s">
        <v>112</v>
      </c>
      <c r="D15" s="21" t="n">
        <v>19000</v>
      </c>
      <c r="E15" s="21" t="n">
        <v>109000</v>
      </c>
      <c r="F15" s="19" t="s">
        <v>93</v>
      </c>
      <c r="G15" s="19" t="s">
        <v>101</v>
      </c>
      <c r="H15" s="22" t="s">
        <v>56</v>
      </c>
      <c r="I15" s="11" t="s">
        <v>113</v>
      </c>
    </row>
    <row r="16" customFormat="false" ht="15" hidden="false" customHeight="false" outlineLevel="0" collapsed="false">
      <c r="A16" s="23" t="n">
        <v>2023</v>
      </c>
      <c r="B16" s="24" t="n">
        <v>3.2</v>
      </c>
      <c r="C16" s="25" t="s">
        <v>100</v>
      </c>
      <c r="D16" s="26" t="n">
        <v>22000</v>
      </c>
      <c r="E16" s="26" t="n">
        <v>169990</v>
      </c>
      <c r="F16" s="25" t="s">
        <v>89</v>
      </c>
      <c r="G16" s="25" t="s">
        <v>90</v>
      </c>
      <c r="H16" s="27" t="s">
        <v>102</v>
      </c>
      <c r="I16" s="28" t="s">
        <v>104</v>
      </c>
    </row>
    <row r="17" customFormat="false" ht="27.75" hidden="false" customHeight="true" outlineLevel="0" collapsed="false">
      <c r="A17" s="7" t="n">
        <v>2024</v>
      </c>
      <c r="B17" s="18" t="n">
        <v>2.2</v>
      </c>
      <c r="C17" s="19" t="s">
        <v>112</v>
      </c>
      <c r="D17" s="21" t="n">
        <v>61600</v>
      </c>
      <c r="E17" s="21" t="n">
        <v>121400</v>
      </c>
      <c r="F17" s="19" t="s">
        <v>89</v>
      </c>
      <c r="G17" s="19" t="s">
        <v>90</v>
      </c>
      <c r="H17" s="22" t="s">
        <v>54</v>
      </c>
      <c r="I17" s="11" t="s">
        <v>114</v>
      </c>
    </row>
    <row r="18" customFormat="false" ht="39.75" hidden="false" customHeight="true" outlineLevel="0" collapsed="false">
      <c r="A18" s="23" t="n">
        <v>2024</v>
      </c>
      <c r="B18" s="24" t="n">
        <v>2.2</v>
      </c>
      <c r="C18" s="25" t="s">
        <v>96</v>
      </c>
      <c r="D18" s="26" t="n">
        <v>45000</v>
      </c>
      <c r="E18" s="26" t="n">
        <v>94000</v>
      </c>
      <c r="F18" s="25" t="s">
        <v>93</v>
      </c>
      <c r="G18" s="25" t="s">
        <v>90</v>
      </c>
      <c r="H18" s="27" t="s">
        <v>102</v>
      </c>
      <c r="I18" s="28" t="s">
        <v>115</v>
      </c>
    </row>
    <row r="19" customFormat="false" ht="15" hidden="false" customHeight="false" outlineLevel="0" collapsed="false">
      <c r="A19" s="23" t="n">
        <v>2024</v>
      </c>
      <c r="B19" s="24" t="n">
        <v>2.2</v>
      </c>
      <c r="C19" s="25" t="s">
        <v>116</v>
      </c>
      <c r="D19" s="26" t="n">
        <v>9214</v>
      </c>
      <c r="E19" s="26" t="n">
        <v>196000</v>
      </c>
      <c r="F19" s="25" t="s">
        <v>93</v>
      </c>
      <c r="G19" s="25" t="s">
        <v>101</v>
      </c>
      <c r="H19" s="27" t="s">
        <v>102</v>
      </c>
      <c r="I19" s="28" t="s">
        <v>104</v>
      </c>
    </row>
    <row r="20" customFormat="false" ht="15" hidden="false" customHeight="false" outlineLevel="0" collapsed="false">
      <c r="A20" s="7" t="n">
        <v>2025</v>
      </c>
      <c r="B20" s="18" t="n">
        <v>1.2</v>
      </c>
      <c r="C20" s="19" t="s">
        <v>100</v>
      </c>
      <c r="D20" s="21" t="n">
        <v>18000</v>
      </c>
      <c r="E20" s="21" t="n">
        <v>149999</v>
      </c>
      <c r="F20" s="19" t="s">
        <v>89</v>
      </c>
      <c r="G20" s="19" t="s">
        <v>90</v>
      </c>
      <c r="H20" s="22" t="s">
        <v>54</v>
      </c>
      <c r="I20" s="11" t="s">
        <v>117</v>
      </c>
    </row>
    <row r="21" customFormat="false" ht="27.75" hidden="false" customHeight="true" outlineLevel="0" collapsed="false">
      <c r="A21" s="7" t="n">
        <v>2025</v>
      </c>
      <c r="B21" s="18" t="n">
        <v>1.2</v>
      </c>
      <c r="C21" s="19" t="s">
        <v>118</v>
      </c>
      <c r="D21" s="20" t="s">
        <v>53</v>
      </c>
      <c r="E21" s="21" t="n">
        <v>157599</v>
      </c>
      <c r="F21" s="19" t="s">
        <v>93</v>
      </c>
      <c r="G21" s="19" t="s">
        <v>94</v>
      </c>
      <c r="H21" s="22" t="s">
        <v>54</v>
      </c>
      <c r="I21" s="11" t="s">
        <v>119</v>
      </c>
    </row>
    <row r="22" customFormat="false" ht="27.75" hidden="false" customHeight="true" outlineLevel="0" collapsed="false">
      <c r="A22" s="7" t="n">
        <v>2025</v>
      </c>
      <c r="B22" s="18" t="n">
        <v>1.2</v>
      </c>
      <c r="C22" s="19" t="s">
        <v>120</v>
      </c>
      <c r="D22" s="20" t="s">
        <v>53</v>
      </c>
      <c r="E22" s="21" t="n">
        <v>205000</v>
      </c>
      <c r="F22" s="19" t="s">
        <v>89</v>
      </c>
      <c r="G22" s="19" t="s">
        <v>90</v>
      </c>
      <c r="H22" s="22" t="s">
        <v>56</v>
      </c>
      <c r="I22" s="11" t="s">
        <v>121</v>
      </c>
    </row>
    <row r="24" customFormat="false" ht="15" hidden="false" customHeight="false" outlineLevel="0" collapsed="false">
      <c r="A24" s="3" t="s">
        <v>122</v>
      </c>
      <c r="E24" s="29" t="n">
        <f aca="false">COUNTIF(H4:H22,"High")</f>
        <v>11</v>
      </c>
    </row>
    <row r="25" customFormat="false" ht="15" hidden="false" customHeight="false" outlineLevel="0" collapsed="false">
      <c r="A25" s="3" t="s">
        <v>123</v>
      </c>
      <c r="E25" s="29" t="n">
        <f aca="false">COUNTIF(H4:H22,"Low")</f>
        <v>5</v>
      </c>
    </row>
    <row r="27" customFormat="false" ht="15" hidden="false" customHeight="false" outlineLevel="0" collapsed="false">
      <c r="A27" s="5" t="s">
        <v>124</v>
      </c>
    </row>
    <row r="28" customFormat="false" ht="30" hidden="false" customHeight="true" outlineLevel="0" collapsed="false">
      <c r="A28" s="6"/>
      <c r="B28" s="6"/>
      <c r="C28" s="6" t="s">
        <v>125</v>
      </c>
      <c r="D28" s="6" t="s">
        <v>126</v>
      </c>
      <c r="E28" s="6" t="s">
        <v>127</v>
      </c>
      <c r="F28" s="6" t="s">
        <v>128</v>
      </c>
      <c r="G28" s="6" t="s">
        <v>129</v>
      </c>
      <c r="H28" s="6" t="s">
        <v>86</v>
      </c>
      <c r="I28" s="6" t="s">
        <v>87</v>
      </c>
    </row>
    <row r="29" customFormat="false" ht="30" hidden="false" customHeight="true" outlineLevel="0" collapsed="false">
      <c r="C29" s="30" t="s">
        <v>130</v>
      </c>
      <c r="D29" s="7" t="n">
        <v>6</v>
      </c>
      <c r="E29" s="21" t="n">
        <v>99500</v>
      </c>
      <c r="F29" s="21" t="n">
        <v>124832</v>
      </c>
      <c r="G29" s="21" t="n">
        <v>139990</v>
      </c>
      <c r="H29" s="31" t="s">
        <v>131</v>
      </c>
      <c r="I29" s="11" t="s">
        <v>132</v>
      </c>
    </row>
    <row r="30" customFormat="false" ht="30" hidden="false" customHeight="true" outlineLevel="0" collapsed="false">
      <c r="C30" s="30" t="s">
        <v>89</v>
      </c>
      <c r="D30" s="7" t="n">
        <v>21</v>
      </c>
      <c r="E30" s="21" t="n">
        <v>83500</v>
      </c>
      <c r="F30" s="21" t="n">
        <v>131369</v>
      </c>
      <c r="G30" s="21" t="n">
        <v>225000</v>
      </c>
      <c r="H30" s="31" t="s">
        <v>133</v>
      </c>
      <c r="I30" s="11" t="s">
        <v>134</v>
      </c>
    </row>
    <row r="31" customFormat="false" ht="30" hidden="false" customHeight="true" outlineLevel="0" collapsed="false">
      <c r="C31" s="30" t="s">
        <v>135</v>
      </c>
      <c r="D31" s="7" t="n">
        <v>43</v>
      </c>
      <c r="E31" s="21" t="n">
        <v>86000</v>
      </c>
      <c r="F31" s="21" t="n">
        <v>122592</v>
      </c>
      <c r="G31" s="21" t="n">
        <v>225000</v>
      </c>
      <c r="H31" s="31" t="s">
        <v>136</v>
      </c>
      <c r="I31" s="11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4" min="3" style="0" width="17"/>
    <col collapsed="false" customWidth="true" hidden="false" outlineLevel="0" max="6" min="5" style="0" width="15"/>
    <col collapsed="false" customWidth="true" hidden="false" outlineLevel="0" max="8" min="7" style="0" width="16"/>
    <col collapsed="false" customWidth="true" hidden="false" outlineLevel="0" max="10" min="9" style="0" width="15"/>
  </cols>
  <sheetData>
    <row r="1" customFormat="false" ht="21.75" hidden="false" customHeight="true" outlineLevel="0" collapsed="false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95.5" hidden="false" customHeight="false" outlineLevel="0" collapsed="false">
      <c r="A2" s="13" t="s">
        <v>139</v>
      </c>
    </row>
    <row r="4" customFormat="false" ht="30" hidden="false" customHeight="true" outlineLevel="0" collapsed="false">
      <c r="A4" s="6" t="s">
        <v>140</v>
      </c>
      <c r="B4" s="6" t="s">
        <v>141</v>
      </c>
      <c r="C4" s="6" t="s">
        <v>142</v>
      </c>
      <c r="D4" s="6" t="s">
        <v>143</v>
      </c>
      <c r="E4" s="6" t="s">
        <v>144</v>
      </c>
      <c r="F4" s="6" t="s">
        <v>145</v>
      </c>
      <c r="G4" s="6" t="s">
        <v>146</v>
      </c>
      <c r="H4" s="6" t="s">
        <v>147</v>
      </c>
      <c r="I4" s="6" t="s">
        <v>148</v>
      </c>
      <c r="J4" s="6" t="s">
        <v>149</v>
      </c>
    </row>
    <row r="5" customFormat="false" ht="15" hidden="false" customHeight="false" outlineLevel="0" collapsed="false">
      <c r="A5" s="18" t="n">
        <v>0</v>
      </c>
      <c r="B5" s="32" t="n">
        <f aca="false">$A5*Adjustments!$C$5</f>
        <v>0</v>
      </c>
      <c r="C5" s="21" t="n">
        <v>204990</v>
      </c>
      <c r="D5" s="33" t="n">
        <v>204990</v>
      </c>
      <c r="E5" s="34" t="n">
        <f aca="false">D5/C5</f>
        <v>1</v>
      </c>
      <c r="F5" s="34" t="n">
        <f aca="false">D5/$D$5</f>
        <v>1</v>
      </c>
      <c r="G5" s="32" t="n">
        <v>0</v>
      </c>
      <c r="H5" s="34" t="n">
        <v>0</v>
      </c>
      <c r="I5" s="34" t="n">
        <v>0</v>
      </c>
      <c r="J5" s="32" t="n">
        <v>0</v>
      </c>
    </row>
    <row r="6" customFormat="false" ht="15" hidden="false" customHeight="false" outlineLevel="0" collapsed="false">
      <c r="A6" s="18" t="n">
        <v>0.5</v>
      </c>
      <c r="B6" s="32" t="n">
        <f aca="false">$A6*Adjustments!$C$5</f>
        <v>9000</v>
      </c>
      <c r="C6" s="21" t="n">
        <v>207000</v>
      </c>
      <c r="D6" s="33" t="n">
        <v>178000</v>
      </c>
      <c r="E6" s="34" t="n">
        <f aca="false">D6/C6</f>
        <v>0.859903381642512</v>
      </c>
      <c r="F6" s="34" t="n">
        <f aca="false">D6/$D$5</f>
        <v>0.868335040733694</v>
      </c>
      <c r="G6" s="32" t="n">
        <f aca="false">D5-D6</f>
        <v>26990</v>
      </c>
      <c r="H6" s="34" t="n">
        <f aca="false">IF(D5=0,0,D6/D5-1)</f>
        <v>-0.131664959266306</v>
      </c>
      <c r="I6" s="34" t="n">
        <f aca="false">IF(OR(A6=0,C6=0),0,(D6/C6)^(1/A6)-1)</f>
        <v>-0.260566174239772</v>
      </c>
      <c r="J6" s="32" t="n">
        <f aca="false">C6-D6</f>
        <v>29000</v>
      </c>
    </row>
    <row r="7" customFormat="false" ht="15" hidden="false" customHeight="false" outlineLevel="0" collapsed="false">
      <c r="A7" s="18" t="n">
        <v>1</v>
      </c>
      <c r="B7" s="32" t="n">
        <f aca="false">$A7*Adjustments!$C$5</f>
        <v>18000</v>
      </c>
      <c r="C7" s="21" t="n">
        <v>209990</v>
      </c>
      <c r="D7" s="33" t="n">
        <v>157000</v>
      </c>
      <c r="E7" s="34" t="n">
        <f aca="false">D7/C7</f>
        <v>0.747654650221439</v>
      </c>
      <c r="F7" s="34" t="n">
        <f aca="false">D7/$D$5</f>
        <v>0.765891019074101</v>
      </c>
      <c r="G7" s="32" t="n">
        <f aca="false">D6-D7</f>
        <v>21000</v>
      </c>
      <c r="H7" s="34" t="n">
        <f aca="false">IF(D6=0,0,D7/D6-1)</f>
        <v>-0.117977528089888</v>
      </c>
      <c r="I7" s="34" t="n">
        <f aca="false">IF(OR(A7=0,C7=0),0,(D7/C7)^(1/A7)-1)</f>
        <v>-0.252345349778561</v>
      </c>
      <c r="J7" s="32" t="n">
        <f aca="false">C7-D7</f>
        <v>52990</v>
      </c>
    </row>
    <row r="8" customFormat="false" ht="15" hidden="false" customHeight="false" outlineLevel="0" collapsed="false">
      <c r="A8" s="18" t="n">
        <v>1.5</v>
      </c>
      <c r="B8" s="32" t="n">
        <f aca="false">$A8*Adjustments!$C$5</f>
        <v>27000</v>
      </c>
      <c r="C8" s="21" t="n">
        <v>215000</v>
      </c>
      <c r="D8" s="33" t="n">
        <v>145000</v>
      </c>
      <c r="E8" s="34" t="n">
        <f aca="false">D8/C8</f>
        <v>0.674418604651163</v>
      </c>
      <c r="F8" s="34" t="n">
        <f aca="false">D8/$D$5</f>
        <v>0.707351578125762</v>
      </c>
      <c r="G8" s="32" t="n">
        <f aca="false">D7-D8</f>
        <v>12000</v>
      </c>
      <c r="H8" s="34" t="n">
        <f aca="false">IF(D7=0,0,D8/D7-1)</f>
        <v>-0.0764331210191083</v>
      </c>
      <c r="I8" s="34" t="n">
        <f aca="false">IF(OR(A8=0,C8=0),0,(D8/C8)^(1/A8)-1)</f>
        <v>-0.230952741699693</v>
      </c>
      <c r="J8" s="32" t="n">
        <f aca="false">C8-D8</f>
        <v>70000</v>
      </c>
    </row>
    <row r="9" customFormat="false" ht="15" hidden="false" customHeight="false" outlineLevel="0" collapsed="false">
      <c r="A9" s="18" t="n">
        <v>2</v>
      </c>
      <c r="B9" s="32" t="n">
        <f aca="false">$A9*Adjustments!$C$5</f>
        <v>36000</v>
      </c>
      <c r="C9" s="21" t="n">
        <v>219990</v>
      </c>
      <c r="D9" s="33" t="n">
        <v>135500</v>
      </c>
      <c r="E9" s="34" t="n">
        <f aca="false">D9/C9</f>
        <v>0.615937088049457</v>
      </c>
      <c r="F9" s="34" t="n">
        <f aca="false">D9/$D$5</f>
        <v>0.661007854041661</v>
      </c>
      <c r="G9" s="32" t="n">
        <f aca="false">D8-D9</f>
        <v>9500</v>
      </c>
      <c r="H9" s="34" t="n">
        <f aca="false">IF(D8=0,0,D9/D8-1)</f>
        <v>-0.0655172413793104</v>
      </c>
      <c r="I9" s="34" t="n">
        <f aca="false">IF(OR(A9=0,C9=0),0,(D9/C9)^(1/A9)-1)</f>
        <v>-0.215183404833042</v>
      </c>
      <c r="J9" s="32" t="n">
        <f aca="false">C9-D9</f>
        <v>84490</v>
      </c>
    </row>
    <row r="10" customFormat="false" ht="15" hidden="false" customHeight="false" outlineLevel="0" collapsed="false">
      <c r="A10" s="18" t="n">
        <v>2.5</v>
      </c>
      <c r="B10" s="32" t="n">
        <f aca="false">$A10*Adjustments!$C$5</f>
        <v>45000</v>
      </c>
      <c r="C10" s="21" t="n">
        <v>225000</v>
      </c>
      <c r="D10" s="33" t="n">
        <v>127000</v>
      </c>
      <c r="E10" s="34" t="n">
        <f aca="false">D10/C10</f>
        <v>0.564444444444444</v>
      </c>
      <c r="F10" s="34" t="n">
        <f aca="false">D10/$D$5</f>
        <v>0.619542416703254</v>
      </c>
      <c r="G10" s="32" t="n">
        <f aca="false">D9-D10</f>
        <v>8500</v>
      </c>
      <c r="H10" s="34" t="n">
        <f aca="false">IF(D9=0,0,D10/D9-1)</f>
        <v>-0.0627306273062731</v>
      </c>
      <c r="I10" s="34" t="n">
        <f aca="false">IF(OR(A10=0,C10=0),0,(D10/C10)^(1/A10)-1)</f>
        <v>-0.204484801902127</v>
      </c>
      <c r="J10" s="32" t="n">
        <f aca="false">C10-D10</f>
        <v>98000</v>
      </c>
    </row>
    <row r="11" customFormat="false" ht="15" hidden="false" customHeight="false" outlineLevel="0" collapsed="false">
      <c r="A11" s="18" t="n">
        <v>3</v>
      </c>
      <c r="B11" s="32" t="n">
        <f aca="false">$A11*Adjustments!$C$5</f>
        <v>54000</v>
      </c>
      <c r="C11" s="21" t="n">
        <v>229990</v>
      </c>
      <c r="D11" s="33" t="n">
        <v>118000</v>
      </c>
      <c r="E11" s="34" t="n">
        <f aca="false">D11/C11</f>
        <v>0.513065785468933</v>
      </c>
      <c r="F11" s="34" t="n">
        <f aca="false">D11/$D$5</f>
        <v>0.575637835992</v>
      </c>
      <c r="G11" s="32" t="n">
        <f aca="false">D10-D11</f>
        <v>9000</v>
      </c>
      <c r="H11" s="34" t="n">
        <f aca="false">IF(D10=0,0,D11/D10-1)</f>
        <v>-0.0708661417322835</v>
      </c>
      <c r="I11" s="34" t="n">
        <f aca="false">IF(OR(A11=0,C11=0),0,(D11/C11)^(1/A11)-1)</f>
        <v>-0.199445288122081</v>
      </c>
      <c r="J11" s="32" t="n">
        <f aca="false">C11-D11</f>
        <v>111990</v>
      </c>
    </row>
    <row r="12" customFormat="false" ht="15" hidden="false" customHeight="false" outlineLevel="0" collapsed="false">
      <c r="A12" s="18" t="n">
        <v>3.5</v>
      </c>
      <c r="B12" s="32" t="n">
        <f aca="false">$A12*Adjustments!$C$5</f>
        <v>63000</v>
      </c>
      <c r="C12" s="21" t="n">
        <v>232500</v>
      </c>
      <c r="D12" s="33" t="n">
        <v>110000</v>
      </c>
      <c r="E12" s="34" t="n">
        <f aca="false">D12/C12</f>
        <v>0.473118279569893</v>
      </c>
      <c r="F12" s="34" t="n">
        <f aca="false">D12/$D$5</f>
        <v>0.53661154202644</v>
      </c>
      <c r="G12" s="32" t="n">
        <f aca="false">D11-D12</f>
        <v>8000</v>
      </c>
      <c r="H12" s="34" t="n">
        <f aca="false">IF(D11=0,0,D12/D11-1)</f>
        <v>-0.0677966101694916</v>
      </c>
      <c r="I12" s="34" t="n">
        <f aca="false">IF(OR(A12=0,C12=0),0,(D12/C12)^(1/A12)-1)</f>
        <v>-0.192515475159244</v>
      </c>
      <c r="J12" s="32" t="n">
        <f aca="false">C12-D12</f>
        <v>122500</v>
      </c>
    </row>
    <row r="13" customFormat="false" ht="15" hidden="false" customHeight="false" outlineLevel="0" collapsed="false">
      <c r="A13" s="18" t="n">
        <v>4</v>
      </c>
      <c r="B13" s="32" t="n">
        <f aca="false">$A13*Adjustments!$C$5</f>
        <v>72000</v>
      </c>
      <c r="C13" s="21" t="n">
        <v>234990</v>
      </c>
      <c r="D13" s="33" t="n">
        <v>102500</v>
      </c>
      <c r="E13" s="34" t="n">
        <f aca="false">D13/C13</f>
        <v>0.436188773990383</v>
      </c>
      <c r="F13" s="34" t="n">
        <f aca="false">D13/$D$5</f>
        <v>0.500024391433729</v>
      </c>
      <c r="G13" s="32" t="n">
        <f aca="false">D12-D13</f>
        <v>7500</v>
      </c>
      <c r="H13" s="34" t="n">
        <f aca="false">IF(D12=0,0,D13/D12-1)</f>
        <v>-0.0681818181818182</v>
      </c>
      <c r="I13" s="34" t="n">
        <f aca="false">IF(OR(A13=0,C13=0),0,(D13/C13)^(1/A13)-1)</f>
        <v>-0.187321779372672</v>
      </c>
      <c r="J13" s="32" t="n">
        <f aca="false">C13-D13</f>
        <v>132490</v>
      </c>
    </row>
    <row r="14" customFormat="false" ht="15" hidden="false" customHeight="false" outlineLevel="0" collapsed="false">
      <c r="A14" s="18" t="n">
        <v>4.5</v>
      </c>
      <c r="B14" s="32" t="n">
        <f aca="false">$A14*Adjustments!$C$5</f>
        <v>81000</v>
      </c>
      <c r="C14" s="21" t="n">
        <v>234990</v>
      </c>
      <c r="D14" s="33" t="n">
        <v>95500</v>
      </c>
      <c r="E14" s="34" t="n">
        <f aca="false">D14/C14</f>
        <v>0.406400272352015</v>
      </c>
      <c r="F14" s="34" t="n">
        <f aca="false">D14/$D$5</f>
        <v>0.465876384213864</v>
      </c>
      <c r="G14" s="32" t="n">
        <f aca="false">D13-D14</f>
        <v>7000</v>
      </c>
      <c r="H14" s="34" t="n">
        <f aca="false">IF(D13=0,0,D14/D13-1)</f>
        <v>-0.0682926829268292</v>
      </c>
      <c r="I14" s="34" t="n">
        <f aca="false">IF(OR(A14=0,C14=0),0,(D14/C14)^(1/A14)-1)</f>
        <v>-0.181345060164713</v>
      </c>
      <c r="J14" s="32" t="n">
        <f aca="false">C14-D14</f>
        <v>139490</v>
      </c>
    </row>
    <row r="15" customFormat="false" ht="15" hidden="false" customHeight="false" outlineLevel="0" collapsed="false">
      <c r="A15" s="18" t="n">
        <v>5</v>
      </c>
      <c r="B15" s="32" t="n">
        <f aca="false">$A15*Adjustments!$C$5</f>
        <v>90000</v>
      </c>
      <c r="C15" s="21" t="n">
        <v>234990</v>
      </c>
      <c r="D15" s="33" t="n">
        <v>89000</v>
      </c>
      <c r="E15" s="34" t="n">
        <f aca="false">D15/C15</f>
        <v>0.378739520830674</v>
      </c>
      <c r="F15" s="34" t="n">
        <f aca="false">D15/$D$5</f>
        <v>0.434167520366847</v>
      </c>
      <c r="G15" s="32" t="n">
        <f aca="false">D14-D15</f>
        <v>6500</v>
      </c>
      <c r="H15" s="34" t="n">
        <f aca="false">IF(D14=0,0,D15/D14-1)</f>
        <v>-0.0680628272251309</v>
      </c>
      <c r="I15" s="34" t="n">
        <f aca="false">IF(OR(A15=0,C15=0),0,(D15/C15)^(1/A15)-1)</f>
        <v>-0.17649142624865</v>
      </c>
      <c r="J15" s="32" t="n">
        <f aca="false">C15-D15</f>
        <v>145990</v>
      </c>
    </row>
    <row r="17" customFormat="false" ht="15" hidden="false" customHeight="false" outlineLevel="0" collapsed="false">
      <c r="A17" s="5" t="s">
        <v>150</v>
      </c>
    </row>
    <row r="18" customFormat="false" ht="43.25" hidden="false" customHeight="false" outlineLevel="0" collapsed="false">
      <c r="A18" s="3" t="s">
        <v>151</v>
      </c>
      <c r="D18" s="35" t="n">
        <f aca="false">C7-D7</f>
        <v>52990</v>
      </c>
      <c r="F18" s="13" t="s">
        <v>152</v>
      </c>
    </row>
    <row r="19" customFormat="false" ht="22.35" hidden="false" customHeight="false" outlineLevel="0" collapsed="false">
      <c r="A19" s="3" t="s">
        <v>153</v>
      </c>
      <c r="D19" s="36" t="n">
        <f aca="false">1-E7</f>
        <v>0.252345349778561</v>
      </c>
      <c r="F19" s="13" t="s">
        <v>154</v>
      </c>
    </row>
    <row r="20" customFormat="false" ht="53.7" hidden="false" customHeight="false" outlineLevel="0" collapsed="false">
      <c r="A20" s="3" t="s">
        <v>155</v>
      </c>
      <c r="D20" s="35" t="n">
        <f aca="false">D5-D7</f>
        <v>47990</v>
      </c>
      <c r="F20" s="13" t="s">
        <v>156</v>
      </c>
    </row>
    <row r="21" customFormat="false" ht="43.25" hidden="false" customHeight="false" outlineLevel="0" collapsed="false">
      <c r="A21" s="3" t="s">
        <v>157</v>
      </c>
      <c r="D21" s="36" t="n">
        <f aca="false">E11</f>
        <v>0.513065785468933</v>
      </c>
      <c r="F21" s="13" t="s">
        <v>158</v>
      </c>
    </row>
    <row r="22" customFormat="false" ht="32.8" hidden="false" customHeight="false" outlineLevel="0" collapsed="false">
      <c r="A22" s="3" t="s">
        <v>159</v>
      </c>
      <c r="D22" s="36" t="n">
        <f aca="false">E15</f>
        <v>0.378739520830674</v>
      </c>
      <c r="F22" s="13" t="s">
        <v>160</v>
      </c>
    </row>
    <row r="23" customFormat="false" ht="22.35" hidden="false" customHeight="false" outlineLevel="0" collapsed="false">
      <c r="A23" s="3" t="s">
        <v>161</v>
      </c>
      <c r="D23" s="35" t="n">
        <f aca="false">(D7-D15)/4</f>
        <v>17000</v>
      </c>
      <c r="F23" s="13" t="s">
        <v>162</v>
      </c>
    </row>
    <row r="24" customFormat="false" ht="15" hidden="false" customHeight="false" outlineLevel="0" collapsed="false">
      <c r="A24" s="3" t="s">
        <v>163</v>
      </c>
      <c r="D24" s="35" t="n">
        <f aca="false">(C15-D15)/5</f>
        <v>29198</v>
      </c>
      <c r="F24" s="13" t="s">
        <v>164</v>
      </c>
    </row>
    <row r="25" customFormat="false" ht="22.35" hidden="false" customHeight="false" outlineLevel="0" collapsed="false">
      <c r="A25" s="3" t="s">
        <v>165</v>
      </c>
      <c r="D25" s="35" t="n">
        <f aca="false">C15-D15</f>
        <v>145990</v>
      </c>
      <c r="F25" s="13" t="s">
        <v>166</v>
      </c>
    </row>
    <row r="27" customFormat="false" ht="15" hidden="false" customHeight="false" outlineLevel="0" collapsed="false">
      <c r="A27" s="5" t="s">
        <v>167</v>
      </c>
    </row>
    <row r="28" customFormat="false" ht="30" hidden="false" customHeight="true" outlineLevel="0" collapsed="false">
      <c r="A28" s="6" t="s">
        <v>168</v>
      </c>
      <c r="B28" s="6"/>
      <c r="C28" s="6"/>
      <c r="D28" s="6" t="s">
        <v>169</v>
      </c>
      <c r="E28" s="6" t="s">
        <v>170</v>
      </c>
      <c r="F28" s="6" t="s">
        <v>171</v>
      </c>
    </row>
    <row r="29" customFormat="false" ht="64.15" hidden="false" customHeight="false" outlineLevel="0" collapsed="false">
      <c r="A29" s="19" t="s">
        <v>172</v>
      </c>
      <c r="B29" s="37"/>
      <c r="C29" s="37"/>
      <c r="D29" s="32" t="n">
        <f aca="false">D5-D7</f>
        <v>47990</v>
      </c>
      <c r="E29" s="34" t="n">
        <f aca="false">D29/SUM($D$29:$D$33)</f>
        <v>0.413742564014139</v>
      </c>
      <c r="F29" s="20" t="s">
        <v>173</v>
      </c>
      <c r="G29" s="13" t="s">
        <v>174</v>
      </c>
    </row>
    <row r="30" customFormat="false" ht="15" hidden="false" customHeight="false" outlineLevel="0" collapsed="false">
      <c r="A30" s="19" t="s">
        <v>175</v>
      </c>
      <c r="B30" s="37"/>
      <c r="C30" s="37"/>
      <c r="D30" s="32" t="n">
        <f aca="false">D7-D9</f>
        <v>21500</v>
      </c>
      <c r="E30" s="34" t="n">
        <f aca="false">D30/SUM($D$29:$D$33)</f>
        <v>0.185360806966118</v>
      </c>
      <c r="F30" s="37"/>
    </row>
    <row r="31" customFormat="false" ht="15" hidden="false" customHeight="false" outlineLevel="0" collapsed="false">
      <c r="A31" s="19" t="s">
        <v>176</v>
      </c>
      <c r="B31" s="37"/>
      <c r="C31" s="37"/>
      <c r="D31" s="32" t="n">
        <f aca="false">D9-D11</f>
        <v>17500</v>
      </c>
      <c r="E31" s="34" t="n">
        <f aca="false">D31/SUM($D$29:$D$33)</f>
        <v>0.150875075437538</v>
      </c>
      <c r="F31" s="20" t="s">
        <v>177</v>
      </c>
    </row>
    <row r="32" customFormat="false" ht="15" hidden="false" customHeight="false" outlineLevel="0" collapsed="false">
      <c r="A32" s="19" t="s">
        <v>178</v>
      </c>
      <c r="B32" s="37"/>
      <c r="C32" s="37"/>
      <c r="D32" s="32" t="n">
        <f aca="false">D11-D13</f>
        <v>15500</v>
      </c>
      <c r="E32" s="34" t="n">
        <f aca="false">D32/SUM($D$29:$D$33)</f>
        <v>0.133632209673248</v>
      </c>
      <c r="F32" s="37"/>
    </row>
    <row r="33" customFormat="false" ht="15" hidden="false" customHeight="false" outlineLevel="0" collapsed="false">
      <c r="A33" s="19" t="s">
        <v>179</v>
      </c>
      <c r="B33" s="37"/>
      <c r="C33" s="37"/>
      <c r="D33" s="32" t="n">
        <f aca="false">D13-D15</f>
        <v>13500</v>
      </c>
      <c r="E33" s="34" t="n">
        <f aca="false">D33/SUM($D$29:$D$33)</f>
        <v>0.116389343908958</v>
      </c>
      <c r="F33" s="37"/>
    </row>
    <row r="35" customFormat="false" ht="30" hidden="false" customHeight="true" outlineLevel="0" collapsed="false">
      <c r="A35" s="13" t="s">
        <v>180</v>
      </c>
    </row>
    <row r="37" customFormat="false" ht="15" hidden="false" customHeight="false" outlineLevel="0" collapsed="false">
      <c r="A37" s="5" t="s">
        <v>181</v>
      </c>
    </row>
    <row r="38" customFormat="false" ht="30" hidden="false" customHeight="true" outlineLevel="0" collapsed="false">
      <c r="A38" s="6" t="s">
        <v>182</v>
      </c>
      <c r="B38" s="6" t="s">
        <v>183</v>
      </c>
      <c r="C38" s="6" t="s">
        <v>184</v>
      </c>
      <c r="D38" s="6" t="s">
        <v>185</v>
      </c>
      <c r="E38" s="6" t="s">
        <v>186</v>
      </c>
      <c r="F38" s="6" t="s">
        <v>187</v>
      </c>
      <c r="G38" s="6" t="s">
        <v>188</v>
      </c>
      <c r="H38" s="6" t="s">
        <v>189</v>
      </c>
      <c r="I38" s="6" t="s">
        <v>190</v>
      </c>
      <c r="J38" s="6"/>
    </row>
    <row r="39" customFormat="false" ht="15" hidden="false" customHeight="false" outlineLevel="0" collapsed="false">
      <c r="A39" s="7" t="n">
        <v>2025</v>
      </c>
      <c r="B39" s="18" t="n">
        <v>1.2</v>
      </c>
      <c r="C39" s="21" t="n">
        <v>149999</v>
      </c>
      <c r="D39" s="21" t="n">
        <v>18000</v>
      </c>
      <c r="E39" s="32" t="n">
        <f aca="false">B39*Adjustments!$C$5</f>
        <v>21600</v>
      </c>
      <c r="F39" s="32" t="n">
        <f aca="false">(E39-D39)*Adjustments!$C$6</f>
        <v>1980</v>
      </c>
      <c r="G39" s="21" t="n">
        <v>152200</v>
      </c>
      <c r="H39" s="32" t="n">
        <f aca="false">C39-(G39+F39)</f>
        <v>-4181</v>
      </c>
      <c r="I39" s="34" t="n">
        <f aca="false">IF((G39+F39)=0,0,C39/(G39+F39)-1)</f>
        <v>-0.0271176546893241</v>
      </c>
    </row>
    <row r="40" customFormat="false" ht="15" hidden="false" customHeight="false" outlineLevel="0" collapsed="false">
      <c r="A40" s="7" t="n">
        <v>2024</v>
      </c>
      <c r="B40" s="18" t="n">
        <v>2.2</v>
      </c>
      <c r="C40" s="21" t="n">
        <v>121400</v>
      </c>
      <c r="D40" s="21" t="n">
        <v>61600</v>
      </c>
      <c r="E40" s="32" t="n">
        <f aca="false">B40*Adjustments!$C$5</f>
        <v>39600</v>
      </c>
      <c r="F40" s="32" t="n">
        <f aca="false">(E40-D40)*Adjustments!$C$6</f>
        <v>-12100</v>
      </c>
      <c r="G40" s="21" t="n">
        <v>132100</v>
      </c>
      <c r="H40" s="32" t="n">
        <f aca="false">C40-(G40+F40)</f>
        <v>1400</v>
      </c>
      <c r="I40" s="34" t="n">
        <f aca="false">IF((G40+F40)=0,0,C40/(G40+F40)-1)</f>
        <v>0.0116666666666667</v>
      </c>
    </row>
    <row r="41" customFormat="false" ht="15" hidden="false" customHeight="false" outlineLevel="0" collapsed="false">
      <c r="A41" s="7" t="n">
        <v>2023</v>
      </c>
      <c r="B41" s="18" t="n">
        <v>3.2</v>
      </c>
      <c r="C41" s="21" t="n">
        <v>109750</v>
      </c>
      <c r="D41" s="21" t="n">
        <v>65000</v>
      </c>
      <c r="E41" s="32" t="n">
        <f aca="false">B41*Adjustments!$C$5</f>
        <v>57600</v>
      </c>
      <c r="F41" s="32" t="n">
        <f aca="false">(E41-D41)*Adjustments!$C$6</f>
        <v>-4070</v>
      </c>
      <c r="G41" s="21" t="n">
        <v>114800</v>
      </c>
      <c r="H41" s="32" t="n">
        <f aca="false">C41-(G41+F41)</f>
        <v>-980</v>
      </c>
      <c r="I41" s="34" t="n">
        <f aca="false">IF((G41+F41)=0,0,C41/(G41+F41)-1)</f>
        <v>-0.00885035672356183</v>
      </c>
    </row>
    <row r="42" customFormat="false" ht="15" hidden="false" customHeight="false" outlineLevel="0" collapsed="false">
      <c r="A42" s="7" t="n">
        <v>2022</v>
      </c>
      <c r="B42" s="18" t="n">
        <v>4.2</v>
      </c>
      <c r="C42" s="21" t="n">
        <v>119000</v>
      </c>
      <c r="D42" s="21" t="n">
        <v>52554</v>
      </c>
      <c r="E42" s="32" t="n">
        <f aca="false">B42*Adjustments!$C$5</f>
        <v>75600</v>
      </c>
      <c r="F42" s="32" t="n">
        <f aca="false">(E42-D42)*Adjustments!$C$6</f>
        <v>12675.3</v>
      </c>
      <c r="G42" s="21" t="n">
        <v>99700</v>
      </c>
      <c r="H42" s="32" t="n">
        <f aca="false">C42-(G42+F42)</f>
        <v>6624.7</v>
      </c>
      <c r="I42" s="34" t="n">
        <f aca="false">IF((G42+F42)=0,0,C42/(G42+F42)-1)</f>
        <v>0.0589515667588874</v>
      </c>
    </row>
    <row r="43" customFormat="false" ht="15" hidden="false" customHeight="false" outlineLevel="0" collapsed="false">
      <c r="A43" s="7" t="n">
        <v>2022</v>
      </c>
      <c r="B43" s="18" t="n">
        <v>4.2</v>
      </c>
      <c r="C43" s="21" t="n">
        <v>86999</v>
      </c>
      <c r="D43" s="21" t="n">
        <v>95000</v>
      </c>
      <c r="E43" s="32" t="n">
        <f aca="false">B43*Adjustments!$C$5</f>
        <v>75600</v>
      </c>
      <c r="F43" s="32" t="n">
        <f aca="false">(E43-D43)*Adjustments!$C$6</f>
        <v>-10670</v>
      </c>
      <c r="G43" s="21" t="n">
        <v>99700</v>
      </c>
      <c r="H43" s="32" t="n">
        <f aca="false">C43-(G43+F43)</f>
        <v>-2031</v>
      </c>
      <c r="I43" s="34" t="n">
        <f aca="false">IF((G43+F43)=0,0,C43/(G43+F43)-1)</f>
        <v>-0.0228125351005279</v>
      </c>
    </row>
    <row r="44" customFormat="false" ht="15" hidden="false" customHeight="false" outlineLevel="0" collapsed="false">
      <c r="A44" s="3" t="s">
        <v>191</v>
      </c>
      <c r="I44" s="12" t="n">
        <f aca="false">SUMPRODUCT(ABS(I39:I43))/COUNT(I39:I43)</f>
        <v>0.0258797559877936</v>
      </c>
    </row>
    <row r="45" customFormat="false" ht="27.75" hidden="false" customHeight="true" outlineLevel="0" collapsed="false">
      <c r="A45" s="13" t="s">
        <v>192</v>
      </c>
    </row>
    <row r="47" customFormat="false" ht="15" hidden="false" customHeight="false" outlineLevel="0" collapsed="false">
      <c r="A47" s="5" t="s">
        <v>193</v>
      </c>
    </row>
    <row r="48" customFormat="false" ht="30" hidden="false" customHeight="true" outlineLevel="0" collapsed="false">
      <c r="A48" s="6"/>
      <c r="B48" s="6"/>
      <c r="C48" s="6" t="s">
        <v>194</v>
      </c>
      <c r="D48" s="6" t="s">
        <v>195</v>
      </c>
      <c r="E48" s="6" t="s">
        <v>196</v>
      </c>
      <c r="F48" s="6"/>
      <c r="G48" s="6"/>
      <c r="H48" s="6"/>
      <c r="I48" s="6"/>
      <c r="J48" s="6"/>
    </row>
    <row r="49" customFormat="false" ht="22.35" hidden="false" customHeight="false" outlineLevel="0" collapsed="false">
      <c r="A49" s="19" t="s">
        <v>197</v>
      </c>
      <c r="B49" s="37"/>
      <c r="C49" s="32" t="n">
        <f aca="false">AVERAGE(D7,D9,D11,D13,D15)</f>
        <v>120400</v>
      </c>
      <c r="D49" s="21" t="n">
        <v>122592</v>
      </c>
      <c r="E49" s="34" t="n">
        <f aca="false">C49/D49-1</f>
        <v>-0.0178804489689376</v>
      </c>
      <c r="F49" s="13" t="s">
        <v>198</v>
      </c>
    </row>
    <row r="50" customFormat="false" ht="22.35" hidden="false" customHeight="false" outlineLevel="0" collapsed="false">
      <c r="A50" s="19" t="s">
        <v>199</v>
      </c>
      <c r="B50" s="37"/>
      <c r="C50" s="32" t="n">
        <f aca="false">AVERAGE(D7,D9,D11,D13,D15)</f>
        <v>120400</v>
      </c>
      <c r="D50" s="21" t="n">
        <v>124832</v>
      </c>
      <c r="E50" s="34" t="n">
        <f aca="false">C50/D50-1</f>
        <v>-0.0355037169956421</v>
      </c>
      <c r="F50" s="13" t="s">
        <v>200</v>
      </c>
    </row>
    <row r="51" customFormat="false" ht="30" hidden="false" customHeight="true" outlineLevel="0" collapsed="false">
      <c r="A51" s="13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72"/>
  </cols>
  <sheetData>
    <row r="1" customFormat="false" ht="21.75" hidden="false" customHeight="true" outlineLevel="0" collapsed="false">
      <c r="A1" s="1" t="s">
        <v>202</v>
      </c>
      <c r="B1" s="2"/>
      <c r="C1" s="2"/>
      <c r="D1" s="2"/>
      <c r="E1" s="2"/>
    </row>
    <row r="3" customFormat="false" ht="15" hidden="false" customHeight="false" outlineLevel="0" collapsed="false">
      <c r="A3" s="5" t="s">
        <v>203</v>
      </c>
    </row>
    <row r="4" customFormat="false" ht="30" hidden="false" customHeight="true" outlineLevel="0" collapsed="false">
      <c r="A4" s="6" t="s">
        <v>204</v>
      </c>
      <c r="B4" s="6" t="s">
        <v>102</v>
      </c>
      <c r="C4" s="6" t="s">
        <v>205</v>
      </c>
      <c r="D4" s="6" t="s">
        <v>54</v>
      </c>
      <c r="E4" s="6" t="s">
        <v>206</v>
      </c>
    </row>
    <row r="5" customFormat="false" ht="42" hidden="false" customHeight="true" outlineLevel="0" collapsed="false">
      <c r="A5" s="3" t="s">
        <v>207</v>
      </c>
      <c r="B5" s="21" t="n">
        <v>12000</v>
      </c>
      <c r="C5" s="33" t="n">
        <v>18000</v>
      </c>
      <c r="D5" s="21" t="n">
        <v>25000</v>
      </c>
      <c r="E5" s="13" t="s">
        <v>208</v>
      </c>
    </row>
    <row r="6" customFormat="false" ht="42" hidden="false" customHeight="true" outlineLevel="0" collapsed="false">
      <c r="A6" s="3" t="s">
        <v>209</v>
      </c>
      <c r="B6" s="38" t="n">
        <v>0.4</v>
      </c>
      <c r="C6" s="39" t="n">
        <v>0.55</v>
      </c>
      <c r="D6" s="38" t="n">
        <v>0.75</v>
      </c>
      <c r="E6" s="13" t="s">
        <v>210</v>
      </c>
    </row>
    <row r="8" customFormat="false" ht="15" hidden="false" customHeight="false" outlineLevel="0" collapsed="false">
      <c r="A8" s="5" t="s">
        <v>211</v>
      </c>
    </row>
    <row r="9" customFormat="false" ht="30" hidden="false" customHeight="true" outlineLevel="0" collapsed="false">
      <c r="A9" s="6" t="s">
        <v>212</v>
      </c>
      <c r="B9" s="6" t="s">
        <v>213</v>
      </c>
      <c r="C9" s="6" t="s">
        <v>214</v>
      </c>
      <c r="D9" s="6" t="s">
        <v>215</v>
      </c>
      <c r="E9" s="6" t="s">
        <v>216</v>
      </c>
    </row>
    <row r="10" customFormat="false" ht="48" hidden="false" customHeight="true" outlineLevel="0" collapsed="false">
      <c r="A10" s="19" t="s">
        <v>217</v>
      </c>
      <c r="B10" s="21" t="n">
        <v>80000</v>
      </c>
      <c r="C10" s="40" t="n">
        <f aca="false">B10/$C$5</f>
        <v>4.44444444444445</v>
      </c>
      <c r="D10" s="41" t="n">
        <v>-0.04</v>
      </c>
      <c r="E10" s="11" t="s">
        <v>218</v>
      </c>
    </row>
    <row r="11" customFormat="false" ht="48" hidden="false" customHeight="true" outlineLevel="0" collapsed="false">
      <c r="A11" s="19" t="s">
        <v>219</v>
      </c>
      <c r="B11" s="21" t="n">
        <v>160000</v>
      </c>
      <c r="C11" s="40" t="n">
        <f aca="false">B11/$C$5</f>
        <v>8.88888888888889</v>
      </c>
      <c r="D11" s="41" t="n">
        <v>-0.1</v>
      </c>
      <c r="E11" s="11" t="s">
        <v>220</v>
      </c>
    </row>
    <row r="12" customFormat="false" ht="48" hidden="false" customHeight="true" outlineLevel="0" collapsed="false">
      <c r="A12" s="19" t="s">
        <v>221</v>
      </c>
      <c r="B12" s="21" t="n">
        <v>192000</v>
      </c>
      <c r="C12" s="40" t="n">
        <f aca="false">B12/$C$5</f>
        <v>10.6666666666667</v>
      </c>
      <c r="D12" s="41" t="n">
        <v>-0.1</v>
      </c>
      <c r="E12" s="11" t="s">
        <v>222</v>
      </c>
    </row>
    <row r="14" customFormat="false" ht="45.75" hidden="false" customHeight="true" outlineLevel="0" collapsed="false">
      <c r="A14" s="13" t="s">
        <v>223</v>
      </c>
    </row>
    <row r="16" customFormat="false" ht="15" hidden="false" customHeight="false" outlineLevel="0" collapsed="false">
      <c r="A16" s="5" t="s">
        <v>224</v>
      </c>
    </row>
    <row r="17" customFormat="false" ht="30" hidden="false" customHeight="true" outlineLevel="0" collapsed="false">
      <c r="A17" s="6" t="s">
        <v>225</v>
      </c>
      <c r="B17" s="6" t="s">
        <v>226</v>
      </c>
      <c r="C17" s="6" t="s">
        <v>227</v>
      </c>
      <c r="D17" s="6" t="s">
        <v>228</v>
      </c>
      <c r="E17" s="6" t="s">
        <v>229</v>
      </c>
    </row>
    <row r="18" customFormat="false" ht="99.75" hidden="false" customHeight="true" outlineLevel="0" collapsed="false">
      <c r="A18" s="30" t="s">
        <v>230</v>
      </c>
      <c r="B18" s="21" t="n">
        <v>28100</v>
      </c>
      <c r="C18" s="21" t="n">
        <v>4200</v>
      </c>
      <c r="D18" s="34" t="n">
        <f aca="false">IF(B18="n/a","n/a",IF(B18=0,"n/a",C18/B18))</f>
        <v>0.149466192170819</v>
      </c>
      <c r="E18" s="11" t="s">
        <v>231</v>
      </c>
    </row>
    <row r="19" customFormat="false" ht="99.75" hidden="false" customHeight="true" outlineLevel="0" collapsed="false">
      <c r="A19" s="30" t="s">
        <v>70</v>
      </c>
      <c r="B19" s="21" t="n">
        <v>14100</v>
      </c>
      <c r="C19" s="21" t="n">
        <v>3500</v>
      </c>
      <c r="D19" s="34" t="n">
        <f aca="false">IF(B19="n/a","n/a",IF(B19=0,"n/a",C19/B19))</f>
        <v>0.24822695035461</v>
      </c>
      <c r="E19" s="11" t="s">
        <v>232</v>
      </c>
    </row>
    <row r="20" customFormat="false" ht="99.75" hidden="false" customHeight="true" outlineLevel="0" collapsed="false">
      <c r="A20" s="30" t="s">
        <v>233</v>
      </c>
      <c r="B20" s="20" t="s">
        <v>53</v>
      </c>
      <c r="C20" s="21" t="n">
        <v>3000</v>
      </c>
      <c r="D20" s="34" t="str">
        <f aca="false">IF(B20="n/a","n/a",IF(B20=0,"n/a",C20/B20))</f>
        <v>n/a</v>
      </c>
      <c r="E20" s="11" t="s">
        <v>234</v>
      </c>
    </row>
    <row r="22" customFormat="false" ht="15" hidden="false" customHeight="false" outlineLevel="0" collapsed="false">
      <c r="A22" s="5" t="s">
        <v>235</v>
      </c>
    </row>
    <row r="23" customFormat="false" ht="30" hidden="false" customHeight="true" outlineLevel="0" collapsed="false">
      <c r="A23" s="6" t="s">
        <v>225</v>
      </c>
      <c r="B23" s="6" t="s">
        <v>102</v>
      </c>
      <c r="C23" s="6" t="s">
        <v>205</v>
      </c>
      <c r="D23" s="6" t="s">
        <v>54</v>
      </c>
      <c r="E23" s="6" t="s">
        <v>67</v>
      </c>
    </row>
    <row r="24" customFormat="false" ht="42" hidden="false" customHeight="true" outlineLevel="0" collapsed="false">
      <c r="A24" s="14" t="s">
        <v>236</v>
      </c>
      <c r="B24" s="42" t="n">
        <v>-0.25</v>
      </c>
      <c r="C24" s="41" t="n">
        <v>-0.18</v>
      </c>
      <c r="D24" s="42" t="n">
        <v>-0.12</v>
      </c>
      <c r="E24" s="13" t="s">
        <v>237</v>
      </c>
    </row>
    <row r="25" customFormat="false" ht="42" hidden="false" customHeight="true" outlineLevel="0" collapsed="false">
      <c r="A25" s="14" t="s">
        <v>238</v>
      </c>
      <c r="B25" s="42" t="n">
        <v>0.05</v>
      </c>
      <c r="C25" s="41" t="n">
        <v>0.09</v>
      </c>
      <c r="D25" s="42" t="n">
        <v>0.14</v>
      </c>
      <c r="E25" s="13" t="s">
        <v>239</v>
      </c>
    </row>
    <row r="26" customFormat="false" ht="42" hidden="false" customHeight="true" outlineLevel="0" collapsed="false">
      <c r="A26" s="14" t="s">
        <v>240</v>
      </c>
      <c r="B26" s="42" t="n">
        <v>-0.14</v>
      </c>
      <c r="C26" s="41" t="n">
        <v>-0.11</v>
      </c>
      <c r="D26" s="42" t="n">
        <v>-0.08</v>
      </c>
      <c r="E26" s="13" t="s">
        <v>241</v>
      </c>
    </row>
    <row r="27" customFormat="false" ht="30" hidden="false" customHeight="true" outlineLevel="0" collapsed="false">
      <c r="A27" s="14" t="s">
        <v>242</v>
      </c>
      <c r="B27" s="42" t="n">
        <v>0.03</v>
      </c>
      <c r="C27" s="41" t="n">
        <v>0.05</v>
      </c>
      <c r="D27" s="42" t="n">
        <v>0.08</v>
      </c>
      <c r="E27" s="13" t="s">
        <v>243</v>
      </c>
    </row>
    <row r="28" customFormat="false" ht="30" hidden="false" customHeight="true" outlineLevel="0" collapsed="false">
      <c r="A28" s="14" t="s">
        <v>244</v>
      </c>
      <c r="B28" s="42" t="n">
        <v>-0.25</v>
      </c>
      <c r="C28" s="41" t="n">
        <v>-0.18</v>
      </c>
      <c r="D28" s="42" t="n">
        <v>-0.1</v>
      </c>
      <c r="E28" s="13" t="s">
        <v>245</v>
      </c>
    </row>
    <row r="29" customFormat="false" ht="30" hidden="false" customHeight="true" outlineLevel="0" collapsed="false">
      <c r="A29" s="14" t="s">
        <v>246</v>
      </c>
      <c r="B29" s="42" t="n">
        <v>-0.02</v>
      </c>
      <c r="C29" s="41" t="n">
        <v>0</v>
      </c>
      <c r="D29" s="42" t="n">
        <v>0.02</v>
      </c>
      <c r="E29" s="13" t="s">
        <v>247</v>
      </c>
    </row>
    <row r="30" customFormat="false" ht="30" hidden="false" customHeight="true" outlineLevel="0" collapsed="false">
      <c r="A30" s="14" t="s">
        <v>248</v>
      </c>
      <c r="B30" s="42" t="n">
        <v>0.02</v>
      </c>
      <c r="C30" s="41" t="n">
        <v>0.04</v>
      </c>
      <c r="D30" s="42" t="n">
        <v>0.07</v>
      </c>
      <c r="E30" s="13" t="s">
        <v>249</v>
      </c>
    </row>
    <row r="32" customFormat="false" ht="15" hidden="false" customHeight="false" outlineLevel="0" collapsed="false">
      <c r="A32" s="5" t="s">
        <v>250</v>
      </c>
    </row>
    <row r="33" customFormat="false" ht="15" hidden="false" customHeight="false" outlineLevel="0" collapsed="false">
      <c r="A33" s="3" t="s">
        <v>251</v>
      </c>
    </row>
    <row r="34" customFormat="false" ht="15" hidden="false" customHeight="false" outlineLevel="0" collapsed="false">
      <c r="A34" s="14" t="s">
        <v>252</v>
      </c>
      <c r="C34" s="43" t="n">
        <v>114800</v>
      </c>
      <c r="E34" s="13" t="s">
        <v>253</v>
      </c>
    </row>
    <row r="35" customFormat="false" ht="15" hidden="false" customHeight="false" outlineLevel="0" collapsed="false">
      <c r="A35" s="14" t="s">
        <v>254</v>
      </c>
      <c r="C35" s="44" t="n">
        <f aca="false">3.2*$C$5</f>
        <v>57600</v>
      </c>
    </row>
    <row r="36" customFormat="false" ht="15" hidden="false" customHeight="false" outlineLevel="0" collapsed="false">
      <c r="A36" s="14" t="s">
        <v>255</v>
      </c>
      <c r="C36" s="45" t="n">
        <v>78000</v>
      </c>
    </row>
    <row r="37" customFormat="false" ht="15" hidden="false" customHeight="false" outlineLevel="0" collapsed="false">
      <c r="A37" s="14" t="s">
        <v>256</v>
      </c>
      <c r="C37" s="44" t="n">
        <f aca="false">($C$35-$C$36)*$C$6</f>
        <v>-11220</v>
      </c>
    </row>
    <row r="38" customFormat="false" ht="15" hidden="false" customHeight="false" outlineLevel="0" collapsed="false">
      <c r="A38" s="14" t="s">
        <v>257</v>
      </c>
      <c r="C38" s="44" t="n">
        <f aca="false">$C$18</f>
        <v>4200</v>
      </c>
    </row>
    <row r="39" customFormat="false" ht="15" hidden="false" customHeight="false" outlineLevel="0" collapsed="false">
      <c r="A39" s="3" t="s">
        <v>258</v>
      </c>
      <c r="C39" s="35" t="n">
        <f aca="false">$C$34+$C$37+$C$38</f>
        <v>107780</v>
      </c>
    </row>
    <row r="40" customFormat="false" ht="15" hidden="false" customHeight="false" outlineLevel="0" collapsed="false">
      <c r="A40" s="14" t="s">
        <v>259</v>
      </c>
      <c r="C40" s="44" t="n">
        <f aca="false">$C$39*0.94</f>
        <v>101313.2</v>
      </c>
    </row>
    <row r="41" customFormat="false" ht="15" hidden="false" customHeight="false" outlineLevel="0" collapsed="false">
      <c r="A41" s="14" t="s">
        <v>260</v>
      </c>
      <c r="C41" s="44" t="n">
        <f aca="false">$C$39*0.85</f>
        <v>91613</v>
      </c>
      <c r="E41" s="13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66"/>
  </cols>
  <sheetData>
    <row r="1" customFormat="false" ht="21.75" hidden="false" customHeight="true" outlineLevel="0" collapsed="false">
      <c r="A1" s="1" t="s">
        <v>262</v>
      </c>
      <c r="B1" s="2"/>
      <c r="C1" s="2"/>
      <c r="D1" s="2"/>
      <c r="E1" s="2"/>
    </row>
    <row r="3" customFormat="false" ht="30" hidden="false" customHeight="true" outlineLevel="0" collapsed="false">
      <c r="A3" s="6" t="s">
        <v>263</v>
      </c>
      <c r="B3" s="6" t="s">
        <v>264</v>
      </c>
      <c r="C3" s="6" t="s">
        <v>265</v>
      </c>
      <c r="D3" s="6" t="s">
        <v>125</v>
      </c>
      <c r="E3" s="6" t="s">
        <v>52</v>
      </c>
    </row>
    <row r="4" customFormat="false" ht="30" hidden="false" customHeight="true" outlineLevel="0" collapsed="false">
      <c r="A4" s="46" t="s">
        <v>266</v>
      </c>
      <c r="B4" s="47" t="n">
        <f aca="false">'Depreciation Curve'!E11</f>
        <v>0.513065785468933</v>
      </c>
      <c r="C4" s="47" t="n">
        <f aca="false">'Depreciation Curve'!E15</f>
        <v>0.378739520830674</v>
      </c>
      <c r="D4" s="48" t="s">
        <v>93</v>
      </c>
      <c r="E4" s="49" t="s">
        <v>267</v>
      </c>
    </row>
    <row r="5" customFormat="false" ht="15.75" hidden="false" customHeight="true" outlineLevel="0" collapsed="false">
      <c r="A5" s="19" t="s">
        <v>268</v>
      </c>
      <c r="B5" s="50" t="s">
        <v>53</v>
      </c>
      <c r="C5" s="51" t="n">
        <v>0.419</v>
      </c>
      <c r="D5" s="52" t="s">
        <v>269</v>
      </c>
      <c r="E5" s="13" t="s">
        <v>270</v>
      </c>
    </row>
    <row r="6" customFormat="false" ht="15.75" hidden="false" customHeight="true" outlineLevel="0" collapsed="false">
      <c r="A6" s="19" t="s">
        <v>271</v>
      </c>
      <c r="B6" s="50" t="s">
        <v>53</v>
      </c>
      <c r="C6" s="51" t="n">
        <v>0.455</v>
      </c>
      <c r="D6" s="52" t="s">
        <v>269</v>
      </c>
      <c r="E6" s="13" t="s">
        <v>272</v>
      </c>
    </row>
    <row r="7" customFormat="false" ht="30" hidden="false" customHeight="true" outlineLevel="0" collapsed="false">
      <c r="A7" s="19" t="s">
        <v>273</v>
      </c>
      <c r="B7" s="51" t="n">
        <v>0.5</v>
      </c>
      <c r="C7" s="51" t="n">
        <v>0.4</v>
      </c>
      <c r="D7" s="52" t="s">
        <v>93</v>
      </c>
      <c r="E7" s="13" t="s">
        <v>274</v>
      </c>
    </row>
    <row r="8" customFormat="false" ht="30" hidden="false" customHeight="true" outlineLevel="0" collapsed="false">
      <c r="A8" s="19" t="s">
        <v>275</v>
      </c>
      <c r="B8" s="51" t="n">
        <v>0.67</v>
      </c>
      <c r="C8" s="51" t="n">
        <v>0.6</v>
      </c>
      <c r="D8" s="52" t="s">
        <v>93</v>
      </c>
      <c r="E8" s="13" t="s">
        <v>276</v>
      </c>
    </row>
    <row r="9" customFormat="false" ht="15.75" hidden="false" customHeight="true" outlineLevel="0" collapsed="false">
      <c r="A9" s="19" t="s">
        <v>277</v>
      </c>
      <c r="B9" s="50" t="s">
        <v>53</v>
      </c>
      <c r="C9" s="51" t="n">
        <v>0.56</v>
      </c>
      <c r="D9" s="52" t="s">
        <v>93</v>
      </c>
      <c r="E9" s="13" t="s">
        <v>278</v>
      </c>
    </row>
    <row r="10" customFormat="false" ht="15.75" hidden="false" customHeight="true" outlineLevel="0" collapsed="false">
      <c r="A10" s="19" t="s">
        <v>279</v>
      </c>
      <c r="B10" s="51" t="n">
        <v>0.68</v>
      </c>
      <c r="C10" s="51" t="n">
        <v>0.58</v>
      </c>
      <c r="D10" s="52" t="s">
        <v>93</v>
      </c>
      <c r="E10" s="13" t="s">
        <v>280</v>
      </c>
    </row>
    <row r="11" customFormat="false" ht="15.75" hidden="false" customHeight="true" outlineLevel="0" collapsed="false">
      <c r="A11" s="19" t="s">
        <v>281</v>
      </c>
      <c r="B11" s="51" t="n">
        <v>0.68</v>
      </c>
      <c r="C11" s="50" t="s">
        <v>53</v>
      </c>
      <c r="D11" s="52" t="s">
        <v>93</v>
      </c>
      <c r="E11" s="13" t="s">
        <v>282</v>
      </c>
    </row>
    <row r="12" customFormat="false" ht="15.75" hidden="false" customHeight="true" outlineLevel="0" collapsed="false">
      <c r="A12" s="19" t="s">
        <v>283</v>
      </c>
      <c r="B12" s="51" t="n">
        <v>0.48</v>
      </c>
      <c r="C12" s="50" t="s">
        <v>53</v>
      </c>
      <c r="D12" s="52" t="s">
        <v>93</v>
      </c>
      <c r="E12" s="13" t="s">
        <v>284</v>
      </c>
    </row>
    <row r="13" customFormat="false" ht="15.75" hidden="false" customHeight="true" outlineLevel="0" collapsed="false">
      <c r="A13" s="19" t="s">
        <v>285</v>
      </c>
      <c r="B13" s="50" t="s">
        <v>53</v>
      </c>
      <c r="C13" s="51" t="n">
        <v>0.585</v>
      </c>
      <c r="D13" s="52" t="s">
        <v>269</v>
      </c>
      <c r="E13" s="13" t="s">
        <v>286</v>
      </c>
    </row>
    <row r="15" customFormat="false" ht="15" hidden="false" customHeight="false" outlineLevel="0" collapsed="false">
      <c r="A15" s="3" t="s">
        <v>287</v>
      </c>
      <c r="C15" s="12" t="n">
        <f aca="false">C4-C9</f>
        <v>-0.181260479169326</v>
      </c>
      <c r="E15" s="13" t="s">
        <v>288</v>
      </c>
    </row>
    <row r="16" customFormat="false" ht="15" hidden="false" customHeight="false" outlineLevel="0" collapsed="false">
      <c r="A16" s="3" t="s">
        <v>289</v>
      </c>
      <c r="C16" s="17" t="n">
        <f aca="false">(C9-C4)*235000</f>
        <v>42596.2126047917</v>
      </c>
    </row>
    <row r="18" customFormat="false" ht="42" hidden="false" customHeight="true" outlineLevel="0" collapsed="false">
      <c r="A18" s="13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</cols>
  <sheetData>
    <row r="1" customFormat="false" ht="21.75" hidden="false" customHeight="true" outlineLevel="0" collapsed="false">
      <c r="A1" s="1" t="s">
        <v>291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68" customFormat="false" ht="74.6" hidden="false" customHeight="false" outlineLevel="0" collapsed="false">
      <c r="B68" s="13" t="s">
        <v>292</v>
      </c>
    </row>
    <row r="70" customFormat="false" ht="15" hidden="false" customHeight="false" outlineLevel="0" collapsed="false">
      <c r="B70" s="3" t="s">
        <v>293</v>
      </c>
    </row>
    <row r="71" customFormat="false" ht="15" hidden="false" customHeight="false" outlineLevel="0" collapsed="false">
      <c r="B71" s="3" t="s">
        <v>213</v>
      </c>
      <c r="C71" s="3" t="s">
        <v>294</v>
      </c>
    </row>
    <row r="72" customFormat="false" ht="15" hidden="false" customHeight="false" outlineLevel="0" collapsed="false">
      <c r="B72" s="43" t="n">
        <f aca="false">'Used Listings'!D6</f>
        <v>52554</v>
      </c>
      <c r="C72" s="43" t="n">
        <f aca="false">'Used Listings'!E6</f>
        <v>119000</v>
      </c>
    </row>
    <row r="73" customFormat="false" ht="15" hidden="false" customHeight="false" outlineLevel="0" collapsed="false">
      <c r="B73" s="43" t="n">
        <f aca="false">'Used Listings'!D7</f>
        <v>95000</v>
      </c>
      <c r="C73" s="43" t="n">
        <f aca="false">'Used Listings'!E7</f>
        <v>86999</v>
      </c>
    </row>
    <row r="74" customFormat="false" ht="15" hidden="false" customHeight="false" outlineLevel="0" collapsed="false">
      <c r="B74" s="43" t="n">
        <f aca="false">'Used Listings'!D11</f>
        <v>65000</v>
      </c>
      <c r="C74" s="43" t="n">
        <f aca="false">'Used Listings'!E11</f>
        <v>109750</v>
      </c>
    </row>
    <row r="75" customFormat="false" ht="15" hidden="false" customHeight="false" outlineLevel="0" collapsed="false">
      <c r="B75" s="43" t="n">
        <f aca="false">'Used Listings'!D12</f>
        <v>57126</v>
      </c>
      <c r="C75" s="43" t="n">
        <f aca="false">'Used Listings'!E12</f>
        <v>111999</v>
      </c>
    </row>
    <row r="76" customFormat="false" ht="15" hidden="false" customHeight="false" outlineLevel="0" collapsed="false">
      <c r="B76" s="43" t="n">
        <f aca="false">'Used Listings'!D13</f>
        <v>29000</v>
      </c>
      <c r="C76" s="43" t="n">
        <f aca="false">'Used Listings'!E13</f>
        <v>149000</v>
      </c>
    </row>
    <row r="77" customFormat="false" ht="15" hidden="false" customHeight="false" outlineLevel="0" collapsed="false">
      <c r="B77" s="43" t="n">
        <f aca="false">'Used Listings'!D14</f>
        <v>19850</v>
      </c>
      <c r="C77" s="43" t="n">
        <f aca="false">'Used Listings'!E14</f>
        <v>151000</v>
      </c>
    </row>
    <row r="78" customFormat="false" ht="15" hidden="false" customHeight="false" outlineLevel="0" collapsed="false">
      <c r="B78" s="43" t="n">
        <f aca="false">'Used Listings'!D15</f>
        <v>19000</v>
      </c>
      <c r="C78" s="43" t="n">
        <f aca="false">'Used Listings'!E15</f>
        <v>109000</v>
      </c>
    </row>
    <row r="79" customFormat="false" ht="15" hidden="false" customHeight="false" outlineLevel="0" collapsed="false">
      <c r="B79" s="43" t="n">
        <f aca="false">'Used Listings'!D17</f>
        <v>61600</v>
      </c>
      <c r="C79" s="43" t="n">
        <f aca="false">'Used Listings'!E17</f>
        <v>121400</v>
      </c>
    </row>
    <row r="80" customFormat="false" ht="15" hidden="false" customHeight="false" outlineLevel="0" collapsed="false">
      <c r="B80" s="43" t="n">
        <f aca="false">'Used Listings'!D20</f>
        <v>18000</v>
      </c>
      <c r="C80" s="43" t="n">
        <f aca="false">'Used Listings'!E20</f>
        <v>149999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2026-07-25T15:31:55Z</dcterms:created>
  <dc:creator>openpyxl</dc:creator>
  <dc:description/>
  <dc:language>en-US</dc:language>
  <cp:lastModifiedBy/>
  <dcterms:modified xsi:type="dcterms:W3CDTF">2026-07-25T15:31:57Z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